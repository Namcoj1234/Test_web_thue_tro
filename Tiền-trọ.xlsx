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_web_thue_tro\"/>
    </mc:Choice>
  </mc:AlternateContent>
  <xr:revisionPtr revIDLastSave="0" documentId="8_{6362C72A-A6EE-4AE8-8392-4F89ED2A9787}" xr6:coauthVersionLast="36" xr6:coauthVersionMax="36" xr10:uidLastSave="{00000000-0000-0000-0000-000000000000}"/>
  <bookViews>
    <workbookView xWindow="-120" yWindow="-120" windowWidth="29040" windowHeight="15720" activeTab="1" xr2:uid="{5F815CDD-D263-4226-A0D4-186CAB8BDD7B}"/>
  </bookViews>
  <sheets>
    <sheet name="Số người trọ" sheetId="2" r:id="rId1"/>
    <sheet name="Tiền trọ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" i="1" l="1"/>
  <c r="J40" i="1" s="1"/>
  <c r="R40" i="1" s="1"/>
  <c r="M40" i="1"/>
  <c r="N40" i="1"/>
  <c r="O40" i="1"/>
  <c r="P40" i="1"/>
  <c r="I41" i="1"/>
  <c r="J41" i="1" s="1"/>
  <c r="R41" i="1" s="1"/>
  <c r="M41" i="1"/>
  <c r="N41" i="1"/>
  <c r="O41" i="1"/>
  <c r="P41" i="1"/>
  <c r="I42" i="1"/>
  <c r="J42" i="1" s="1"/>
  <c r="R42" i="1" s="1"/>
  <c r="M42" i="1"/>
  <c r="N42" i="1"/>
  <c r="O42" i="1"/>
  <c r="P42" i="1"/>
  <c r="I43" i="1"/>
  <c r="J43" i="1" s="1"/>
  <c r="M43" i="1"/>
  <c r="N43" i="1"/>
  <c r="O43" i="1"/>
  <c r="P43" i="1"/>
  <c r="Q43" i="1"/>
  <c r="R43" i="1"/>
  <c r="S43" i="1"/>
  <c r="T43" i="1"/>
  <c r="I44" i="1"/>
  <c r="J44" i="1" s="1"/>
  <c r="R44" i="1" s="1"/>
  <c r="M44" i="1"/>
  <c r="N44" i="1"/>
  <c r="O44" i="1"/>
  <c r="P44" i="1"/>
  <c r="Q44" i="1"/>
  <c r="I45" i="1"/>
  <c r="J45" i="1" s="1"/>
  <c r="M45" i="1"/>
  <c r="N45" i="1"/>
  <c r="O45" i="1"/>
  <c r="P45" i="1"/>
  <c r="Q45" i="1"/>
  <c r="R45" i="1"/>
  <c r="S45" i="1"/>
  <c r="T45" i="1"/>
  <c r="M37" i="1"/>
  <c r="N37" i="1"/>
  <c r="O37" i="1"/>
  <c r="P37" i="1"/>
  <c r="M38" i="1"/>
  <c r="V38" i="1" s="1"/>
  <c r="N38" i="1"/>
  <c r="O38" i="1"/>
  <c r="P38" i="1"/>
  <c r="M39" i="1"/>
  <c r="N39" i="1"/>
  <c r="O39" i="1"/>
  <c r="P39" i="1"/>
  <c r="P36" i="1"/>
  <c r="O36" i="1"/>
  <c r="N36" i="1"/>
  <c r="M36" i="1"/>
  <c r="I35" i="1"/>
  <c r="J35" i="1"/>
  <c r="K35" i="1"/>
  <c r="L35" i="1"/>
  <c r="N35" i="1"/>
  <c r="O35" i="1"/>
  <c r="P35" i="1"/>
  <c r="G82" i="1"/>
  <c r="M35" i="1"/>
  <c r="M34" i="1"/>
  <c r="N34" i="1"/>
  <c r="O34" i="1"/>
  <c r="P34" i="1"/>
  <c r="G84" i="1"/>
  <c r="G85" i="1"/>
  <c r="G86" i="1"/>
  <c r="G87" i="1"/>
  <c r="G88" i="1"/>
  <c r="G89" i="1"/>
  <c r="I34" i="1"/>
  <c r="J34" i="1"/>
  <c r="K34" i="1"/>
  <c r="L34" i="1"/>
  <c r="U34" i="1"/>
  <c r="V34" i="1"/>
  <c r="W34" i="1"/>
  <c r="U35" i="1"/>
  <c r="G81" i="1"/>
  <c r="V35" i="1"/>
  <c r="W35" i="1"/>
  <c r="I36" i="1"/>
  <c r="K36" i="1" s="1"/>
  <c r="S36" i="1" s="1"/>
  <c r="J36" i="1"/>
  <c r="V36" i="1"/>
  <c r="I37" i="1"/>
  <c r="J37" i="1" s="1"/>
  <c r="I38" i="1"/>
  <c r="J38" i="1" s="1"/>
  <c r="I39" i="1"/>
  <c r="J39" i="1" s="1"/>
  <c r="K39" i="1" s="1"/>
  <c r="G79" i="1"/>
  <c r="M33" i="1"/>
  <c r="N33" i="1"/>
  <c r="O33" i="1"/>
  <c r="P33" i="1"/>
  <c r="I33" i="1"/>
  <c r="J33" i="1"/>
  <c r="Q33" i="1"/>
  <c r="R33" i="1"/>
  <c r="K33" i="1"/>
  <c r="S33" i="1"/>
  <c r="L33" i="1"/>
  <c r="T33" i="1"/>
  <c r="Q34" i="1"/>
  <c r="R34" i="1"/>
  <c r="S34" i="1"/>
  <c r="T34" i="1"/>
  <c r="Q35" i="1"/>
  <c r="R35" i="1"/>
  <c r="S35" i="1"/>
  <c r="T35" i="1"/>
  <c r="R36" i="1"/>
  <c r="I29" i="1"/>
  <c r="J29" i="1"/>
  <c r="K29" i="1"/>
  <c r="L29" i="1"/>
  <c r="I30" i="1"/>
  <c r="J30" i="1"/>
  <c r="K30" i="1"/>
  <c r="I31" i="1"/>
  <c r="J31" i="1"/>
  <c r="K31" i="1"/>
  <c r="L31" i="1"/>
  <c r="I32" i="1"/>
  <c r="J32" i="1"/>
  <c r="I28" i="1"/>
  <c r="G74" i="1"/>
  <c r="M28" i="1"/>
  <c r="O28" i="1"/>
  <c r="P28" i="1"/>
  <c r="G75" i="1"/>
  <c r="N29" i="1"/>
  <c r="G76" i="1"/>
  <c r="M30" i="1"/>
  <c r="G77" i="1"/>
  <c r="N31" i="1"/>
  <c r="G78" i="1"/>
  <c r="O32" i="1"/>
  <c r="G80" i="1"/>
  <c r="G83" i="1"/>
  <c r="K25" i="1"/>
  <c r="L26" i="1"/>
  <c r="L21" i="1"/>
  <c r="L22" i="1"/>
  <c r="G68" i="1"/>
  <c r="O22" i="1"/>
  <c r="L24" i="1"/>
  <c r="G70" i="1"/>
  <c r="O24" i="1"/>
  <c r="L25" i="1"/>
  <c r="K21" i="1"/>
  <c r="K22" i="1"/>
  <c r="K24" i="1"/>
  <c r="K26" i="1"/>
  <c r="J21" i="1"/>
  <c r="J22" i="1"/>
  <c r="J24" i="1"/>
  <c r="J25" i="1"/>
  <c r="I25" i="1"/>
  <c r="U25" i="1"/>
  <c r="J26" i="1"/>
  <c r="I26" i="1"/>
  <c r="U26" i="1"/>
  <c r="I21" i="1"/>
  <c r="I22" i="1"/>
  <c r="I24" i="1"/>
  <c r="L20" i="1"/>
  <c r="K20" i="1"/>
  <c r="J20" i="1"/>
  <c r="I20" i="1"/>
  <c r="G73" i="1"/>
  <c r="M27" i="1"/>
  <c r="L23" i="1"/>
  <c r="L27" i="1"/>
  <c r="K23" i="1"/>
  <c r="K27" i="1"/>
  <c r="J23" i="1"/>
  <c r="J27" i="1"/>
  <c r="I23" i="1"/>
  <c r="I27" i="1"/>
  <c r="G66" i="1"/>
  <c r="P20" i="1"/>
  <c r="T20" i="1"/>
  <c r="G67" i="1"/>
  <c r="M21" i="1"/>
  <c r="G69" i="1"/>
  <c r="P23" i="1"/>
  <c r="T23" i="1"/>
  <c r="G71" i="1"/>
  <c r="O25" i="1"/>
  <c r="S25" i="1"/>
  <c r="G72" i="1"/>
  <c r="O26" i="1"/>
  <c r="O27" i="1"/>
  <c r="G65" i="1"/>
  <c r="O19" i="1"/>
  <c r="J19" i="1"/>
  <c r="K19" i="1"/>
  <c r="L19" i="1"/>
  <c r="I19" i="1"/>
  <c r="L18" i="1"/>
  <c r="P18" i="1"/>
  <c r="T18" i="1"/>
  <c r="L17" i="1"/>
  <c r="K17" i="1"/>
  <c r="J17" i="1"/>
  <c r="I17" i="1"/>
  <c r="G59" i="1"/>
  <c r="P13" i="1"/>
  <c r="L13" i="1"/>
  <c r="P14" i="1"/>
  <c r="P15" i="1"/>
  <c r="P16" i="1"/>
  <c r="L16" i="1"/>
  <c r="T16" i="1"/>
  <c r="P17" i="1"/>
  <c r="O14" i="1"/>
  <c r="K14" i="1"/>
  <c r="O15" i="1"/>
  <c r="O16" i="1"/>
  <c r="K16" i="1"/>
  <c r="S16" i="1"/>
  <c r="O17" i="1"/>
  <c r="S17" i="1"/>
  <c r="O18" i="1"/>
  <c r="K18" i="1"/>
  <c r="S18" i="1"/>
  <c r="N14" i="1"/>
  <c r="J14" i="1"/>
  <c r="R14" i="1"/>
  <c r="N15" i="1"/>
  <c r="N16" i="1"/>
  <c r="N17" i="1"/>
  <c r="R17" i="1"/>
  <c r="N18" i="1"/>
  <c r="J18" i="1"/>
  <c r="R18" i="1"/>
  <c r="M14" i="1"/>
  <c r="I14" i="1"/>
  <c r="Q14" i="1"/>
  <c r="M15" i="1"/>
  <c r="I15" i="1"/>
  <c r="M16" i="1"/>
  <c r="I16" i="1"/>
  <c r="Q16" i="1"/>
  <c r="M17" i="1"/>
  <c r="Q17" i="1"/>
  <c r="M18" i="1"/>
  <c r="I18" i="1"/>
  <c r="Q18" i="1"/>
  <c r="G58" i="1"/>
  <c r="N12" i="1"/>
  <c r="P12" i="1"/>
  <c r="G51" i="1"/>
  <c r="P5" i="1"/>
  <c r="L5" i="1"/>
  <c r="T5" i="1"/>
  <c r="G52" i="1"/>
  <c r="M6" i="1"/>
  <c r="G53" i="1"/>
  <c r="P7" i="1"/>
  <c r="L7" i="1"/>
  <c r="G54" i="1"/>
  <c r="O8" i="1"/>
  <c r="K8" i="1"/>
  <c r="S8" i="1"/>
  <c r="G55" i="1"/>
  <c r="M9" i="1"/>
  <c r="G56" i="1"/>
  <c r="G57" i="1"/>
  <c r="N11" i="1"/>
  <c r="J11" i="1"/>
  <c r="R11" i="1"/>
  <c r="L11" i="1"/>
  <c r="L12" i="1"/>
  <c r="L14" i="1"/>
  <c r="L15" i="1"/>
  <c r="T15" i="1"/>
  <c r="K9" i="1"/>
  <c r="O9" i="1"/>
  <c r="S9" i="1"/>
  <c r="K10" i="1"/>
  <c r="O10" i="1"/>
  <c r="K12" i="1"/>
  <c r="K13" i="1"/>
  <c r="K15" i="1"/>
  <c r="J10" i="1"/>
  <c r="N10" i="1"/>
  <c r="R10" i="1"/>
  <c r="J12" i="1"/>
  <c r="J13" i="1"/>
  <c r="J15" i="1"/>
  <c r="R15" i="1"/>
  <c r="J16" i="1"/>
  <c r="R16" i="1"/>
  <c r="I12" i="1"/>
  <c r="I13" i="1"/>
  <c r="L6" i="1"/>
  <c r="P9" i="1"/>
  <c r="L9" i="1"/>
  <c r="T9" i="1"/>
  <c r="P10" i="1"/>
  <c r="L10" i="1"/>
  <c r="K5" i="1"/>
  <c r="K6" i="1"/>
  <c r="O7" i="1"/>
  <c r="K7" i="1"/>
  <c r="O11" i="1"/>
  <c r="K11" i="1"/>
  <c r="J5" i="1"/>
  <c r="J6" i="1"/>
  <c r="N7" i="1"/>
  <c r="J7" i="1"/>
  <c r="N8" i="1"/>
  <c r="J8" i="1"/>
  <c r="N9" i="1"/>
  <c r="J9" i="1"/>
  <c r="R9" i="1"/>
  <c r="M5" i="1"/>
  <c r="I9" i="1"/>
  <c r="M10" i="1"/>
  <c r="I10" i="1"/>
  <c r="Q10" i="1"/>
  <c r="G50" i="1"/>
  <c r="M4" i="1"/>
  <c r="I4" i="1"/>
  <c r="Q4" i="1"/>
  <c r="L8" i="1"/>
  <c r="J4" i="1"/>
  <c r="K4" i="1"/>
  <c r="L4" i="1"/>
  <c r="I5" i="1"/>
  <c r="I6" i="1"/>
  <c r="I7" i="1"/>
  <c r="I8" i="1"/>
  <c r="I11" i="1"/>
  <c r="Q3" i="1"/>
  <c r="R3" i="1"/>
  <c r="F5" i="2"/>
  <c r="F6" i="2"/>
  <c r="F3" i="2"/>
  <c r="F4" i="2"/>
  <c r="F2" i="2"/>
  <c r="M11" i="1"/>
  <c r="Q11" i="1"/>
  <c r="M7" i="1"/>
  <c r="Q7" i="1"/>
  <c r="T3" i="1"/>
  <c r="S3" i="1"/>
  <c r="O13" i="1"/>
  <c r="S13" i="1"/>
  <c r="N32" i="1"/>
  <c r="M32" i="1"/>
  <c r="P32" i="1"/>
  <c r="V32" i="1"/>
  <c r="O31" i="1"/>
  <c r="P31" i="1"/>
  <c r="M31" i="1"/>
  <c r="V33" i="1"/>
  <c r="R32" i="1"/>
  <c r="Q32" i="1"/>
  <c r="S7" i="1"/>
  <c r="M12" i="1"/>
  <c r="Q27" i="1"/>
  <c r="R7" i="1"/>
  <c r="S15" i="1"/>
  <c r="N27" i="1"/>
  <c r="P27" i="1"/>
  <c r="V27" i="1"/>
  <c r="J28" i="1"/>
  <c r="K28" i="1"/>
  <c r="S28" i="1"/>
  <c r="U29" i="1"/>
  <c r="U27" i="1"/>
  <c r="U31" i="1"/>
  <c r="S31" i="1"/>
  <c r="V31" i="1"/>
  <c r="T31" i="1"/>
  <c r="R31" i="1"/>
  <c r="Q31" i="1"/>
  <c r="N28" i="1"/>
  <c r="V28" i="1"/>
  <c r="T14" i="1"/>
  <c r="M8" i="1"/>
  <c r="Q8" i="1"/>
  <c r="S10" i="1"/>
  <c r="P11" i="1"/>
  <c r="T11" i="1"/>
  <c r="P29" i="1"/>
  <c r="T29" i="1"/>
  <c r="M13" i="1"/>
  <c r="Q13" i="1"/>
  <c r="O29" i="1"/>
  <c r="S29" i="1"/>
  <c r="N13" i="1"/>
  <c r="R13" i="1"/>
  <c r="N5" i="1"/>
  <c r="R5" i="1"/>
  <c r="Q15" i="1"/>
  <c r="M29" i="1"/>
  <c r="P8" i="1"/>
  <c r="T8" i="1"/>
  <c r="K32" i="1"/>
  <c r="N30" i="1"/>
  <c r="R30" i="1"/>
  <c r="P30" i="1"/>
  <c r="O30" i="1"/>
  <c r="S30" i="1"/>
  <c r="Q30" i="1"/>
  <c r="R29" i="1"/>
  <c r="L30" i="1"/>
  <c r="U30" i="1"/>
  <c r="L28" i="1"/>
  <c r="T28" i="1"/>
  <c r="Q28" i="1"/>
  <c r="R8" i="1"/>
  <c r="T7" i="1"/>
  <c r="Q6" i="1"/>
  <c r="S14" i="1"/>
  <c r="T13" i="1"/>
  <c r="Q21" i="1"/>
  <c r="S24" i="1"/>
  <c r="Q5" i="1"/>
  <c r="T12" i="1"/>
  <c r="T17" i="1"/>
  <c r="S11" i="1"/>
  <c r="Q9" i="1"/>
  <c r="Q12" i="1"/>
  <c r="S19" i="1"/>
  <c r="S22" i="1"/>
  <c r="T10" i="1"/>
  <c r="R12" i="1"/>
  <c r="S26" i="1"/>
  <c r="T27" i="1"/>
  <c r="R27" i="1"/>
  <c r="S27" i="1"/>
  <c r="O5" i="1"/>
  <c r="S5" i="1"/>
  <c r="O4" i="1"/>
  <c r="S4" i="1"/>
  <c r="N6" i="1"/>
  <c r="R6" i="1"/>
  <c r="P6" i="1"/>
  <c r="T6" i="1"/>
  <c r="P19" i="1"/>
  <c r="T19" i="1"/>
  <c r="P21" i="1"/>
  <c r="T21" i="1"/>
  <c r="M23" i="1"/>
  <c r="Q23" i="1"/>
  <c r="N4" i="1"/>
  <c r="R4" i="1"/>
  <c r="P4" i="1"/>
  <c r="T4" i="1"/>
  <c r="N20" i="1"/>
  <c r="R20" i="1"/>
  <c r="M24" i="1"/>
  <c r="Q24" i="1"/>
  <c r="N24" i="1"/>
  <c r="R24" i="1"/>
  <c r="P24" i="1"/>
  <c r="T24" i="1"/>
  <c r="N23" i="1"/>
  <c r="R23" i="1"/>
  <c r="O21" i="1"/>
  <c r="S21" i="1"/>
  <c r="O23" i="1"/>
  <c r="S23" i="1"/>
  <c r="M26" i="1"/>
  <c r="N26" i="1"/>
  <c r="R26" i="1"/>
  <c r="N22" i="1"/>
  <c r="R22" i="1"/>
  <c r="P26" i="1"/>
  <c r="T26" i="1"/>
  <c r="O6" i="1"/>
  <c r="S6" i="1"/>
  <c r="O12" i="1"/>
  <c r="S12" i="1"/>
  <c r="M19" i="1"/>
  <c r="Q19" i="1"/>
  <c r="O20" i="1"/>
  <c r="S20" i="1"/>
  <c r="M22" i="1"/>
  <c r="Q22" i="1"/>
  <c r="P22" i="1"/>
  <c r="T22" i="1"/>
  <c r="N19" i="1"/>
  <c r="R19" i="1"/>
  <c r="M20" i="1"/>
  <c r="Q20" i="1"/>
  <c r="M25" i="1"/>
  <c r="N25" i="1"/>
  <c r="R25" i="1"/>
  <c r="N21" i="1"/>
  <c r="R21" i="1"/>
  <c r="P25" i="1"/>
  <c r="T25" i="1"/>
  <c r="W31" i="1"/>
  <c r="U33" i="1"/>
  <c r="W33" i="1"/>
  <c r="L32" i="1"/>
  <c r="T32" i="1"/>
  <c r="S32" i="1"/>
  <c r="R28" i="1"/>
  <c r="Q29" i="1"/>
  <c r="V29" i="1"/>
  <c r="Q26" i="1"/>
  <c r="V26" i="1"/>
  <c r="U28" i="1"/>
  <c r="Q25" i="1"/>
  <c r="V25" i="1"/>
  <c r="V30" i="1"/>
  <c r="T30" i="1"/>
  <c r="U12" i="1"/>
  <c r="U6" i="1"/>
  <c r="U32" i="1"/>
  <c r="W32" i="1"/>
  <c r="Q42" i="1" l="1"/>
  <c r="Q41" i="1"/>
  <c r="Q39" i="1"/>
  <c r="Q40" i="1"/>
  <c r="V39" i="1"/>
  <c r="S39" i="1"/>
  <c r="R38" i="1"/>
  <c r="R39" i="1"/>
  <c r="K45" i="1"/>
  <c r="L45" i="1" s="1"/>
  <c r="K44" i="1"/>
  <c r="S44" i="1" s="1"/>
  <c r="K43" i="1"/>
  <c r="L43" i="1" s="1"/>
  <c r="K42" i="1"/>
  <c r="S42" i="1" s="1"/>
  <c r="K41" i="1"/>
  <c r="K40" i="1"/>
  <c r="S40" i="1" s="1"/>
  <c r="L39" i="1"/>
  <c r="Q38" i="1"/>
  <c r="Q36" i="1"/>
  <c r="L36" i="1"/>
  <c r="T36" i="1" s="1"/>
  <c r="U36" i="1"/>
  <c r="W36" i="1" s="1"/>
  <c r="R37" i="1"/>
  <c r="V37" i="1"/>
  <c r="Q37" i="1"/>
  <c r="K38" i="1"/>
  <c r="S38" i="1" s="1"/>
  <c r="K37" i="1"/>
  <c r="S37" i="1" s="1"/>
  <c r="L41" i="1" l="1"/>
  <c r="T41" i="1" s="1"/>
  <c r="S41" i="1"/>
  <c r="U39" i="1"/>
  <c r="W39" i="1" s="1"/>
  <c r="T39" i="1"/>
  <c r="L40" i="1"/>
  <c r="T40" i="1" s="1"/>
  <c r="L42" i="1"/>
  <c r="T42" i="1" s="1"/>
  <c r="L44" i="1"/>
  <c r="T44" i="1" s="1"/>
  <c r="L37" i="1"/>
  <c r="T37" i="1" s="1"/>
  <c r="L38" i="1"/>
  <c r="U38" i="1" l="1"/>
  <c r="W38" i="1" s="1"/>
  <c r="T38" i="1"/>
  <c r="U37" i="1"/>
  <c r="W37" i="1" s="1"/>
</calcChain>
</file>

<file path=xl/sharedStrings.xml><?xml version="1.0" encoding="utf-8"?>
<sst xmlns="http://schemas.openxmlformats.org/spreadsheetml/2006/main" count="44" uniqueCount="19">
  <si>
    <t>Ngày-Tháng-Năm</t>
  </si>
  <si>
    <t>Tổng</t>
  </si>
  <si>
    <t>29/10/2022</t>
  </si>
  <si>
    <t>Phòng 1</t>
  </si>
  <si>
    <t>Phòng 2</t>
  </si>
  <si>
    <t>Phòng 3</t>
  </si>
  <si>
    <t>Phòng 4</t>
  </si>
  <si>
    <t>Số điện mới</t>
  </si>
  <si>
    <t>Số nước mới</t>
  </si>
  <si>
    <t>Tiền điện</t>
  </si>
  <si>
    <t>Tiền nước</t>
  </si>
  <si>
    <t>Ngày tháng năm</t>
  </si>
  <si>
    <t xml:space="preserve">Phòng 3 </t>
  </si>
  <si>
    <t>Phòng 1+2</t>
  </si>
  <si>
    <t>Phòng 3+4</t>
  </si>
  <si>
    <t>29/11/2022</t>
  </si>
  <si>
    <t>29/2/2023</t>
  </si>
  <si>
    <t>Điện</t>
  </si>
  <si>
    <t>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</si>
</sst>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/>
    <xf numFmtId="0" fontId="0" fillId="3" borderId="2" xfId="0" applyFill="1" applyBorder="1" applyAlignment="1">
      <alignment horizontal="center"/>
    </xf>
    <xf numFmtId="0" fontId="3" fillId="6" borderId="1" xfId="0" applyFont="1" applyFill="1" applyBorder="1"/>
    <xf numFmtId="0" fontId="4" fillId="6" borderId="1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0" fillId="3" borderId="2" xfId="0" applyFill="1" applyBorder="1"/>
    <xf numFmtId="17" fontId="0" fillId="0" borderId="1" xfId="0" applyNumberFormat="1" applyBorder="1"/>
    <xf numFmtId="14" fontId="0" fillId="0" borderId="0" xfId="0" applyNumberFormat="1"/>
    <xf numFmtId="17" fontId="0" fillId="0" borderId="0" xfId="0" applyNumberFormat="1"/>
    <xf numFmtId="0" fontId="3" fillId="6" borderId="5" xfId="0" applyFont="1" applyFill="1" applyBorder="1"/>
    <xf numFmtId="0" fontId="5" fillId="0" borderId="1" xfId="0" applyFont="1" applyBorder="1"/>
    <xf numFmtId="0" fontId="5" fillId="6" borderId="1" xfId="0" applyFont="1" applyFill="1" applyBorder="1"/>
    <xf numFmtId="0" fontId="4" fillId="0" borderId="1" xfId="0" applyFont="1" applyBorder="1"/>
    <xf numFmtId="0" fontId="6" fillId="0" borderId="1" xfId="0" applyFont="1" applyBorder="1"/>
    <xf numFmtId="0" fontId="6" fillId="6" borderId="1" xfId="0" applyFont="1" applyFill="1" applyBorder="1"/>
    <xf numFmtId="0" fontId="3" fillId="0" borderId="0" xfId="0" applyFont="1"/>
    <xf numFmtId="0" fontId="3" fillId="0" borderId="6" xfId="0" applyFont="1" applyBorder="1"/>
    <xf numFmtId="17" fontId="0" fillId="7" borderId="1" xfId="0" applyNumberFormat="1" applyFill="1" applyBorder="1"/>
    <xf numFmtId="0" fontId="0" fillId="7" borderId="1" xfId="0" applyFill="1" applyBorder="1"/>
    <xf numFmtId="0" fontId="0" fillId="7" borderId="2" xfId="0" applyFill="1" applyBorder="1"/>
    <xf numFmtId="0" fontId="6" fillId="7" borderId="1" xfId="0" applyFont="1" applyFill="1" applyBorder="1"/>
    <xf numFmtId="0" fontId="5" fillId="7" borderId="1" xfId="0" applyFont="1" applyFill="1" applyBorder="1"/>
    <xf numFmtId="0" fontId="4" fillId="7" borderId="1" xfId="0" applyFont="1" applyFill="1" applyBorder="1"/>
    <xf numFmtId="0" fontId="3" fillId="7" borderId="1" xfId="0" applyFont="1" applyFill="1" applyBorder="1"/>
    <xf numFmtId="0" fontId="3" fillId="7" borderId="0" xfId="0" applyFont="1" applyFill="1"/>
    <xf numFmtId="0" fontId="0" fillId="7" borderId="0" xfId="0" applyFill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FE4B-5FDE-4CDD-B2C2-335C0596F44B}">
  <dimension ref="A1:F6"/>
  <sheetViews>
    <sheetView workbookViewId="0">
      <selection sqref="A1:F6"/>
    </sheetView>
  </sheetViews>
  <sheetFormatPr defaultColWidth="8.7109375" defaultRowHeight="15" x14ac:dyDescent="0.25"/>
  <cols>
    <col min="1" max="1" width="15.28515625" bestFit="1" customWidth="1"/>
  </cols>
  <sheetData>
    <row r="1" spans="1:6" x14ac:dyDescent="0.25">
      <c r="A1" t="s">
        <v>11</v>
      </c>
      <c r="B1" t="s">
        <v>3</v>
      </c>
      <c r="C1" t="s">
        <v>4</v>
      </c>
      <c r="D1" t="s">
        <v>12</v>
      </c>
      <c r="E1" t="s">
        <v>6</v>
      </c>
      <c r="F1" t="s">
        <v>1</v>
      </c>
    </row>
    <row r="2" spans="1:6" x14ac:dyDescent="0.25">
      <c r="A2" t="s">
        <v>2</v>
      </c>
      <c r="B2">
        <v>2</v>
      </c>
      <c r="C2">
        <v>1</v>
      </c>
      <c r="D2">
        <v>2</v>
      </c>
      <c r="E2">
        <v>1</v>
      </c>
      <c r="F2">
        <f>B2+C2+D2+E2</f>
        <v>6</v>
      </c>
    </row>
    <row r="3" spans="1:6" x14ac:dyDescent="0.25">
      <c r="F3">
        <f t="shared" ref="F3:F6" si="0">B3+C3+D3+E3</f>
        <v>0</v>
      </c>
    </row>
    <row r="4" spans="1:6" x14ac:dyDescent="0.25">
      <c r="F4">
        <f t="shared" si="0"/>
        <v>0</v>
      </c>
    </row>
    <row r="5" spans="1:6" x14ac:dyDescent="0.25">
      <c r="F5">
        <f>B5+C5+D5+E5</f>
        <v>0</v>
      </c>
    </row>
    <row r="6" spans="1:6" x14ac:dyDescent="0.25">
      <c r="F6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010A-7CAA-42C3-90C2-208256FCCABA}">
  <dimension ref="B1:X8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86" sqref="J86"/>
    </sheetView>
  </sheetViews>
  <sheetFormatPr defaultColWidth="8.7109375" defaultRowHeight="15" x14ac:dyDescent="0.25"/>
  <cols>
    <col min="1" max="1" width="16.42578125" customWidth="1"/>
    <col min="2" max="2" width="16.42578125" bestFit="1" customWidth="1"/>
    <col min="3" max="4" width="8.140625" bestFit="1" customWidth="1"/>
    <col min="5" max="5" width="8.7109375" bestFit="1" customWidth="1"/>
    <col min="6" max="6" width="8.140625" bestFit="1" customWidth="1"/>
    <col min="7" max="7" width="12.5703125" hidden="1" customWidth="1"/>
    <col min="8" max="8" width="10.28515625" hidden="1" customWidth="1"/>
    <col min="9" max="17" width="8.140625" bestFit="1" customWidth="1"/>
    <col min="18" max="19" width="8" bestFit="1" customWidth="1"/>
    <col min="20" max="20" width="8.140625" bestFit="1" customWidth="1"/>
  </cols>
  <sheetData>
    <row r="1" spans="2:24" x14ac:dyDescent="0.25">
      <c r="B1" t="s">
        <v>0</v>
      </c>
      <c r="C1" s="33" t="s">
        <v>7</v>
      </c>
      <c r="D1" s="34"/>
      <c r="E1" s="34"/>
      <c r="F1" s="35"/>
      <c r="G1" s="8" t="s">
        <v>8</v>
      </c>
      <c r="H1" s="9"/>
      <c r="I1" s="36" t="s">
        <v>9</v>
      </c>
      <c r="J1" s="37"/>
      <c r="K1" s="37"/>
      <c r="L1" s="38"/>
      <c r="M1" s="39" t="s">
        <v>10</v>
      </c>
      <c r="N1" s="40"/>
      <c r="O1" s="40"/>
      <c r="P1" s="41"/>
      <c r="Q1" s="42" t="s">
        <v>1</v>
      </c>
      <c r="R1" s="43"/>
      <c r="S1" s="43"/>
      <c r="T1" s="44"/>
      <c r="U1" s="31" t="s">
        <v>1</v>
      </c>
      <c r="V1" s="32"/>
      <c r="W1" s="32"/>
    </row>
    <row r="2" spans="2:24" x14ac:dyDescent="0.25">
      <c r="C2" s="1" t="s">
        <v>3</v>
      </c>
      <c r="D2" s="1" t="s">
        <v>4</v>
      </c>
      <c r="E2" s="1" t="s">
        <v>5</v>
      </c>
      <c r="F2" s="1" t="s">
        <v>6</v>
      </c>
      <c r="G2" s="10" t="s">
        <v>13</v>
      </c>
      <c r="H2" s="10" t="s">
        <v>14</v>
      </c>
      <c r="I2" s="2" t="s">
        <v>3</v>
      </c>
      <c r="J2" s="2" t="s">
        <v>4</v>
      </c>
      <c r="K2" s="2" t="s">
        <v>5</v>
      </c>
      <c r="L2" s="2" t="s">
        <v>6</v>
      </c>
      <c r="M2" s="3" t="s">
        <v>3</v>
      </c>
      <c r="N2" s="3" t="s">
        <v>4</v>
      </c>
      <c r="O2" s="3" t="s">
        <v>5</v>
      </c>
      <c r="P2" s="3" t="s">
        <v>6</v>
      </c>
      <c r="Q2" s="18" t="s">
        <v>3</v>
      </c>
      <c r="R2" s="15" t="s">
        <v>4</v>
      </c>
      <c r="S2" s="17" t="s">
        <v>5</v>
      </c>
      <c r="T2" s="4" t="s">
        <v>6</v>
      </c>
      <c r="U2" s="20" t="s">
        <v>17</v>
      </c>
      <c r="V2" s="20" t="s">
        <v>18</v>
      </c>
      <c r="W2" s="21" t="s">
        <v>1</v>
      </c>
      <c r="X2" s="20"/>
    </row>
    <row r="3" spans="2:24" hidden="1" x14ac:dyDescent="0.25">
      <c r="B3" s="11">
        <v>44805</v>
      </c>
      <c r="C3" s="1">
        <v>4729</v>
      </c>
      <c r="D3" s="1">
        <v>4617</v>
      </c>
      <c r="E3" s="1">
        <v>5421</v>
      </c>
      <c r="F3" s="1">
        <v>4327</v>
      </c>
      <c r="G3" s="10">
        <v>1794</v>
      </c>
      <c r="H3" s="5">
        <v>1955</v>
      </c>
      <c r="I3" s="2">
        <v>52</v>
      </c>
      <c r="J3" s="2">
        <v>52</v>
      </c>
      <c r="K3" s="2">
        <v>12</v>
      </c>
      <c r="L3" s="2">
        <v>8</v>
      </c>
      <c r="M3" s="3">
        <v>40</v>
      </c>
      <c r="N3" s="3">
        <v>20</v>
      </c>
      <c r="O3" s="3">
        <v>40</v>
      </c>
      <c r="P3" s="3">
        <v>20</v>
      </c>
      <c r="Q3" s="19">
        <f>I3+M3+800</f>
        <v>892</v>
      </c>
      <c r="R3" s="16">
        <f t="shared" ref="R3:T17" si="0">J3+N3+800</f>
        <v>872</v>
      </c>
      <c r="S3" s="7">
        <f t="shared" si="0"/>
        <v>852</v>
      </c>
      <c r="T3" s="6">
        <f t="shared" si="0"/>
        <v>828</v>
      </c>
      <c r="U3" s="20"/>
      <c r="V3" s="20"/>
    </row>
    <row r="4" spans="2:24" hidden="1" x14ac:dyDescent="0.25">
      <c r="B4" s="11">
        <v>44835</v>
      </c>
      <c r="C4" s="1">
        <v>4742</v>
      </c>
      <c r="D4" s="1">
        <v>4630</v>
      </c>
      <c r="E4" s="1">
        <v>5424</v>
      </c>
      <c r="F4" s="1">
        <v>4329</v>
      </c>
      <c r="G4" s="10">
        <v>1797</v>
      </c>
      <c r="H4" s="10">
        <v>1957</v>
      </c>
      <c r="I4" s="2">
        <f t="shared" ref="I4:I18" si="1">(C4-C3)*4</f>
        <v>52</v>
      </c>
      <c r="J4" s="2">
        <f t="shared" ref="J4:J18" si="2">(D4-D3)*4</f>
        <v>52</v>
      </c>
      <c r="K4" s="2">
        <f t="shared" ref="K4:K18" si="3">(E4-E3)*4</f>
        <v>12</v>
      </c>
      <c r="L4" s="2">
        <f t="shared" ref="L4:L18" si="4">(F4-F3)*4</f>
        <v>8</v>
      </c>
      <c r="M4" s="3">
        <f t="shared" ref="M4:M11" si="5">(G4-G3+H4-H3)/G50*C50*24</f>
        <v>40</v>
      </c>
      <c r="N4" s="3">
        <f t="shared" ref="N4:N11" si="6">(G4-G3+H4-H3)/G50*D50*24</f>
        <v>20</v>
      </c>
      <c r="O4" s="3">
        <f t="shared" ref="O4:O11" si="7">(G4-G3+H4-H3)/G50*E50*24</f>
        <v>40</v>
      </c>
      <c r="P4" s="3">
        <f t="shared" ref="P4:P11" si="8">(G4-G3+H4-H3)/G50*F50*24</f>
        <v>20</v>
      </c>
      <c r="Q4" s="19">
        <f t="shared" ref="Q4:Q15" si="9">I4+M4+800</f>
        <v>892</v>
      </c>
      <c r="R4" s="16">
        <f t="shared" si="0"/>
        <v>872</v>
      </c>
      <c r="S4" s="7">
        <f t="shared" si="0"/>
        <v>852</v>
      </c>
      <c r="T4" s="6">
        <f t="shared" si="0"/>
        <v>828</v>
      </c>
      <c r="U4" s="20"/>
      <c r="V4" s="20"/>
    </row>
    <row r="5" spans="2:24" hidden="1" x14ac:dyDescent="0.25">
      <c r="B5" s="11">
        <v>44866</v>
      </c>
      <c r="C5" s="1">
        <v>4765</v>
      </c>
      <c r="D5" s="1">
        <v>4638</v>
      </c>
      <c r="E5" s="1">
        <v>5432</v>
      </c>
      <c r="F5" s="1">
        <v>4334</v>
      </c>
      <c r="G5" s="10">
        <v>1800</v>
      </c>
      <c r="H5" s="10">
        <v>1961</v>
      </c>
      <c r="I5" s="2">
        <f t="shared" si="1"/>
        <v>92</v>
      </c>
      <c r="J5" s="2">
        <f t="shared" si="2"/>
        <v>32</v>
      </c>
      <c r="K5" s="2">
        <f t="shared" si="3"/>
        <v>32</v>
      </c>
      <c r="L5" s="2">
        <f t="shared" si="4"/>
        <v>20</v>
      </c>
      <c r="M5" s="3">
        <f t="shared" si="5"/>
        <v>56</v>
      </c>
      <c r="N5" s="3">
        <f t="shared" si="6"/>
        <v>28</v>
      </c>
      <c r="O5" s="3">
        <f t="shared" si="7"/>
        <v>56</v>
      </c>
      <c r="P5" s="3">
        <f t="shared" si="8"/>
        <v>28</v>
      </c>
      <c r="Q5" s="19">
        <f t="shared" si="9"/>
        <v>948</v>
      </c>
      <c r="R5" s="16">
        <f t="shared" si="0"/>
        <v>860</v>
      </c>
      <c r="S5" s="7">
        <f t="shared" si="0"/>
        <v>888</v>
      </c>
      <c r="T5" s="6">
        <f t="shared" si="0"/>
        <v>848</v>
      </c>
      <c r="U5" s="20"/>
      <c r="V5" s="20"/>
    </row>
    <row r="6" spans="2:24" hidden="1" x14ac:dyDescent="0.25">
      <c r="B6" s="11">
        <v>44896</v>
      </c>
      <c r="C6" s="1">
        <v>4777</v>
      </c>
      <c r="D6" s="1">
        <v>4653</v>
      </c>
      <c r="E6" s="1">
        <v>5435</v>
      </c>
      <c r="F6" s="1">
        <v>4343</v>
      </c>
      <c r="G6" s="10">
        <v>1803</v>
      </c>
      <c r="H6" s="10">
        <v>1964</v>
      </c>
      <c r="I6" s="2">
        <f t="shared" si="1"/>
        <v>48</v>
      </c>
      <c r="J6" s="2">
        <f t="shared" si="2"/>
        <v>60</v>
      </c>
      <c r="K6" s="2">
        <f t="shared" si="3"/>
        <v>12</v>
      </c>
      <c r="L6" s="2">
        <f t="shared" si="4"/>
        <v>36</v>
      </c>
      <c r="M6" s="3">
        <f t="shared" si="5"/>
        <v>48</v>
      </c>
      <c r="N6" s="3">
        <f t="shared" si="6"/>
        <v>24</v>
      </c>
      <c r="O6" s="3">
        <f t="shared" si="7"/>
        <v>48</v>
      </c>
      <c r="P6" s="3">
        <f t="shared" si="8"/>
        <v>24</v>
      </c>
      <c r="Q6" s="19">
        <f t="shared" si="9"/>
        <v>896</v>
      </c>
      <c r="R6" s="16">
        <f t="shared" si="0"/>
        <v>884</v>
      </c>
      <c r="S6" s="7">
        <f t="shared" si="0"/>
        <v>860</v>
      </c>
      <c r="T6" s="6">
        <f t="shared" si="0"/>
        <v>860</v>
      </c>
      <c r="U6" s="20">
        <f>SUM(Q6:T6)</f>
        <v>3500</v>
      </c>
      <c r="V6" s="20"/>
    </row>
    <row r="7" spans="2:24" hidden="1" x14ac:dyDescent="0.25">
      <c r="B7" s="11">
        <v>44927</v>
      </c>
      <c r="C7" s="1">
        <v>4787</v>
      </c>
      <c r="D7" s="1">
        <v>4658</v>
      </c>
      <c r="E7" s="1">
        <v>5447</v>
      </c>
      <c r="F7" s="1">
        <v>4346</v>
      </c>
      <c r="G7" s="10">
        <v>1804</v>
      </c>
      <c r="H7" s="10">
        <v>1966</v>
      </c>
      <c r="I7" s="2">
        <f t="shared" si="1"/>
        <v>40</v>
      </c>
      <c r="J7" s="2">
        <f t="shared" si="2"/>
        <v>20</v>
      </c>
      <c r="K7" s="2">
        <f t="shared" si="3"/>
        <v>48</v>
      </c>
      <c r="L7" s="2">
        <f t="shared" si="4"/>
        <v>12</v>
      </c>
      <c r="M7" s="3">
        <f t="shared" si="5"/>
        <v>24</v>
      </c>
      <c r="N7" s="3">
        <f t="shared" si="6"/>
        <v>12</v>
      </c>
      <c r="O7" s="3">
        <f t="shared" si="7"/>
        <v>24</v>
      </c>
      <c r="P7" s="3">
        <f t="shared" si="8"/>
        <v>12</v>
      </c>
      <c r="Q7" s="19">
        <f t="shared" si="9"/>
        <v>864</v>
      </c>
      <c r="R7" s="16">
        <f t="shared" si="0"/>
        <v>832</v>
      </c>
      <c r="S7" s="7">
        <f t="shared" si="0"/>
        <v>872</v>
      </c>
      <c r="T7" s="6">
        <f t="shared" si="0"/>
        <v>824</v>
      </c>
      <c r="U7" s="20"/>
      <c r="V7" s="20"/>
    </row>
    <row r="8" spans="2:24" hidden="1" x14ac:dyDescent="0.25">
      <c r="B8" s="11">
        <v>44958</v>
      </c>
      <c r="C8" s="1">
        <v>4806</v>
      </c>
      <c r="D8" s="1">
        <v>4675</v>
      </c>
      <c r="E8" s="1">
        <v>5478</v>
      </c>
      <c r="F8" s="1">
        <v>4353</v>
      </c>
      <c r="G8" s="10">
        <v>1808</v>
      </c>
      <c r="H8" s="10">
        <v>1970</v>
      </c>
      <c r="I8" s="2">
        <f t="shared" si="1"/>
        <v>76</v>
      </c>
      <c r="J8" s="2">
        <f t="shared" si="2"/>
        <v>68</v>
      </c>
      <c r="K8" s="2">
        <f t="shared" si="3"/>
        <v>124</v>
      </c>
      <c r="L8" s="2">
        <f t="shared" si="4"/>
        <v>28</v>
      </c>
      <c r="M8" s="3">
        <f t="shared" si="5"/>
        <v>64</v>
      </c>
      <c r="N8" s="3">
        <f t="shared" si="6"/>
        <v>32</v>
      </c>
      <c r="O8" s="3">
        <f t="shared" si="7"/>
        <v>64</v>
      </c>
      <c r="P8" s="3">
        <f t="shared" si="8"/>
        <v>32</v>
      </c>
      <c r="Q8" s="19">
        <f t="shared" si="9"/>
        <v>940</v>
      </c>
      <c r="R8" s="16">
        <f t="shared" si="0"/>
        <v>900</v>
      </c>
      <c r="S8" s="7">
        <f t="shared" si="0"/>
        <v>988</v>
      </c>
      <c r="T8" s="6">
        <f t="shared" si="0"/>
        <v>860</v>
      </c>
      <c r="U8" s="20"/>
      <c r="V8" s="20"/>
    </row>
    <row r="9" spans="2:24" hidden="1" x14ac:dyDescent="0.25">
      <c r="B9" s="11">
        <v>44986</v>
      </c>
      <c r="C9" s="1">
        <v>4819</v>
      </c>
      <c r="D9" s="1">
        <v>4689</v>
      </c>
      <c r="E9" s="1">
        <v>5486</v>
      </c>
      <c r="F9" s="1">
        <v>4358</v>
      </c>
      <c r="G9" s="10">
        <v>1811</v>
      </c>
      <c r="H9" s="10">
        <v>1973</v>
      </c>
      <c r="I9" s="2">
        <f t="shared" si="1"/>
        <v>52</v>
      </c>
      <c r="J9" s="2">
        <f t="shared" si="2"/>
        <v>56</v>
      </c>
      <c r="K9" s="2">
        <f t="shared" si="3"/>
        <v>32</v>
      </c>
      <c r="L9" s="2">
        <f t="shared" si="4"/>
        <v>20</v>
      </c>
      <c r="M9" s="3">
        <f t="shared" si="5"/>
        <v>36</v>
      </c>
      <c r="N9" s="3">
        <f t="shared" si="6"/>
        <v>36</v>
      </c>
      <c r="O9" s="3">
        <f t="shared" si="7"/>
        <v>36</v>
      </c>
      <c r="P9" s="3">
        <f t="shared" si="8"/>
        <v>36</v>
      </c>
      <c r="Q9" s="19">
        <f t="shared" si="9"/>
        <v>888</v>
      </c>
      <c r="R9" s="16">
        <f t="shared" si="0"/>
        <v>892</v>
      </c>
      <c r="S9" s="7">
        <f t="shared" si="0"/>
        <v>868</v>
      </c>
      <c r="T9" s="6">
        <f t="shared" si="0"/>
        <v>856</v>
      </c>
      <c r="U9" s="20"/>
      <c r="V9" s="20"/>
    </row>
    <row r="10" spans="2:24" hidden="1" x14ac:dyDescent="0.25">
      <c r="B10" s="11">
        <v>45017</v>
      </c>
      <c r="C10" s="1">
        <v>4839</v>
      </c>
      <c r="D10" s="1">
        <v>4701</v>
      </c>
      <c r="E10" s="1">
        <v>5503</v>
      </c>
      <c r="F10" s="1">
        <v>4382</v>
      </c>
      <c r="G10" s="10">
        <v>1814</v>
      </c>
      <c r="H10" s="10">
        <v>1977</v>
      </c>
      <c r="I10" s="2">
        <f t="shared" si="1"/>
        <v>80</v>
      </c>
      <c r="J10" s="2">
        <f t="shared" si="2"/>
        <v>48</v>
      </c>
      <c r="K10" s="2">
        <f t="shared" si="3"/>
        <v>68</v>
      </c>
      <c r="L10" s="2">
        <f t="shared" si="4"/>
        <v>96</v>
      </c>
      <c r="M10" s="3">
        <f t="shared" si="5"/>
        <v>56</v>
      </c>
      <c r="N10" s="3">
        <f t="shared" si="6"/>
        <v>28</v>
      </c>
      <c r="O10" s="3">
        <f t="shared" si="7"/>
        <v>28</v>
      </c>
      <c r="P10" s="3">
        <f t="shared" si="8"/>
        <v>56</v>
      </c>
      <c r="Q10" s="19">
        <f t="shared" si="9"/>
        <v>936</v>
      </c>
      <c r="R10" s="16">
        <f t="shared" si="0"/>
        <v>876</v>
      </c>
      <c r="S10" s="7">
        <f t="shared" si="0"/>
        <v>896</v>
      </c>
      <c r="T10" s="6">
        <f t="shared" si="0"/>
        <v>952</v>
      </c>
      <c r="U10" s="20"/>
      <c r="V10" s="20"/>
    </row>
    <row r="11" spans="2:24" hidden="1" x14ac:dyDescent="0.25">
      <c r="B11" s="11">
        <v>45047</v>
      </c>
      <c r="C11" s="1">
        <v>4863</v>
      </c>
      <c r="D11" s="1">
        <v>4709</v>
      </c>
      <c r="E11" s="1">
        <v>5517</v>
      </c>
      <c r="F11" s="1">
        <v>4400</v>
      </c>
      <c r="G11" s="10">
        <v>1818</v>
      </c>
      <c r="H11" s="10">
        <v>1981</v>
      </c>
      <c r="I11" s="2">
        <f t="shared" si="1"/>
        <v>96</v>
      </c>
      <c r="J11" s="2">
        <f t="shared" si="2"/>
        <v>32</v>
      </c>
      <c r="K11" s="2">
        <f t="shared" si="3"/>
        <v>56</v>
      </c>
      <c r="L11" s="2">
        <f t="shared" si="4"/>
        <v>72</v>
      </c>
      <c r="M11" s="3">
        <f t="shared" si="5"/>
        <v>64</v>
      </c>
      <c r="N11" s="3">
        <f t="shared" si="6"/>
        <v>32</v>
      </c>
      <c r="O11" s="3">
        <f t="shared" si="7"/>
        <v>64</v>
      </c>
      <c r="P11" s="3">
        <f t="shared" si="8"/>
        <v>32</v>
      </c>
      <c r="Q11" s="19">
        <f t="shared" si="9"/>
        <v>960</v>
      </c>
      <c r="R11" s="16">
        <f t="shared" si="0"/>
        <v>864</v>
      </c>
      <c r="S11" s="7">
        <f t="shared" si="0"/>
        <v>920</v>
      </c>
      <c r="T11" s="6">
        <f t="shared" si="0"/>
        <v>904</v>
      </c>
      <c r="U11" s="20"/>
      <c r="V11" s="20"/>
    </row>
    <row r="12" spans="2:24" hidden="1" x14ac:dyDescent="0.25">
      <c r="B12" s="11">
        <v>45078</v>
      </c>
      <c r="C12" s="1">
        <v>4884</v>
      </c>
      <c r="D12" s="1">
        <v>4721</v>
      </c>
      <c r="E12" s="1">
        <v>5533</v>
      </c>
      <c r="F12" s="1">
        <v>4423</v>
      </c>
      <c r="G12" s="10">
        <v>1823</v>
      </c>
      <c r="H12" s="10">
        <v>1987</v>
      </c>
      <c r="I12" s="2">
        <f t="shared" si="1"/>
        <v>84</v>
      </c>
      <c r="J12" s="2">
        <f t="shared" si="2"/>
        <v>48</v>
      </c>
      <c r="K12" s="2">
        <f t="shared" si="3"/>
        <v>64</v>
      </c>
      <c r="L12" s="2">
        <f t="shared" si="4"/>
        <v>92</v>
      </c>
      <c r="M12" s="3">
        <f t="shared" ref="M12:M18" si="10">ROUND((G12-G11+H12-H11)/G58*C58*28,0)</f>
        <v>103</v>
      </c>
      <c r="N12" s="3">
        <f t="shared" ref="N12:N18" si="11">ROUND((G12-G11+H12-H11)/G58*D58*28,0)</f>
        <v>51</v>
      </c>
      <c r="O12" s="3">
        <f t="shared" ref="O12:O18" si="12">ROUND((G12-G11+H12-H11)/G58*E58*28,0)</f>
        <v>51</v>
      </c>
      <c r="P12" s="3">
        <f t="shared" ref="P12:P18" si="13">ROUND((G12-G11+H12-H11)/G58*F58*28,0)</f>
        <v>103</v>
      </c>
      <c r="Q12" s="19">
        <f t="shared" si="9"/>
        <v>987</v>
      </c>
      <c r="R12" s="16">
        <f t="shared" si="0"/>
        <v>899</v>
      </c>
      <c r="S12" s="7">
        <f t="shared" si="0"/>
        <v>915</v>
      </c>
      <c r="T12" s="6">
        <f t="shared" si="0"/>
        <v>995</v>
      </c>
      <c r="U12" s="14">
        <f>SUM(Q12:T12)</f>
        <v>3796</v>
      </c>
      <c r="V12" s="20"/>
    </row>
    <row r="13" spans="2:24" hidden="1" x14ac:dyDescent="0.25">
      <c r="B13" s="11">
        <v>45108</v>
      </c>
      <c r="C13" s="1">
        <v>4903</v>
      </c>
      <c r="D13" s="1">
        <v>4735</v>
      </c>
      <c r="E13" s="1">
        <v>5549</v>
      </c>
      <c r="F13" s="1">
        <v>4461</v>
      </c>
      <c r="G13" s="10">
        <v>1828</v>
      </c>
      <c r="H13" s="10">
        <v>1993</v>
      </c>
      <c r="I13" s="2">
        <f t="shared" si="1"/>
        <v>76</v>
      </c>
      <c r="J13" s="2">
        <f t="shared" si="2"/>
        <v>56</v>
      </c>
      <c r="K13" s="2">
        <f t="shared" si="3"/>
        <v>64</v>
      </c>
      <c r="L13" s="2">
        <f t="shared" si="4"/>
        <v>152</v>
      </c>
      <c r="M13" s="3">
        <f t="shared" si="10"/>
        <v>103</v>
      </c>
      <c r="N13" s="3">
        <f t="shared" si="11"/>
        <v>51</v>
      </c>
      <c r="O13" s="3">
        <f t="shared" si="12"/>
        <v>51</v>
      </c>
      <c r="P13" s="3">
        <f t="shared" si="13"/>
        <v>103</v>
      </c>
      <c r="Q13" s="19">
        <f t="shared" si="9"/>
        <v>979</v>
      </c>
      <c r="R13" s="16">
        <f t="shared" si="0"/>
        <v>907</v>
      </c>
      <c r="S13" s="7">
        <f t="shared" si="0"/>
        <v>915</v>
      </c>
      <c r="T13" s="6">
        <f t="shared" si="0"/>
        <v>1055</v>
      </c>
      <c r="U13" s="20"/>
      <c r="V13" s="20"/>
    </row>
    <row r="14" spans="2:24" hidden="1" x14ac:dyDescent="0.25">
      <c r="B14" s="11">
        <v>45139</v>
      </c>
      <c r="C14" s="1">
        <v>4915</v>
      </c>
      <c r="D14" s="1">
        <v>4749</v>
      </c>
      <c r="E14" s="1">
        <v>5559</v>
      </c>
      <c r="F14" s="1">
        <v>4502</v>
      </c>
      <c r="G14" s="10">
        <v>1832</v>
      </c>
      <c r="H14" s="10">
        <v>1998</v>
      </c>
      <c r="I14" s="2">
        <f t="shared" si="1"/>
        <v>48</v>
      </c>
      <c r="J14" s="2">
        <f t="shared" si="2"/>
        <v>56</v>
      </c>
      <c r="K14" s="2">
        <f t="shared" si="3"/>
        <v>40</v>
      </c>
      <c r="L14" s="2">
        <f t="shared" si="4"/>
        <v>164</v>
      </c>
      <c r="M14" s="3">
        <f t="shared" si="10"/>
        <v>84</v>
      </c>
      <c r="N14" s="3">
        <f t="shared" si="11"/>
        <v>42</v>
      </c>
      <c r="O14" s="3">
        <f t="shared" si="12"/>
        <v>42</v>
      </c>
      <c r="P14" s="3">
        <f t="shared" si="13"/>
        <v>84</v>
      </c>
      <c r="Q14" s="19">
        <f t="shared" si="9"/>
        <v>932</v>
      </c>
      <c r="R14" s="16">
        <f t="shared" si="0"/>
        <v>898</v>
      </c>
      <c r="S14" s="7">
        <f t="shared" si="0"/>
        <v>882</v>
      </c>
      <c r="T14" s="6">
        <f t="shared" si="0"/>
        <v>1048</v>
      </c>
      <c r="U14" s="20"/>
      <c r="V14" s="20"/>
    </row>
    <row r="15" spans="2:24" hidden="1" x14ac:dyDescent="0.25">
      <c r="B15" s="11">
        <v>45170</v>
      </c>
      <c r="C15" s="1">
        <v>4942</v>
      </c>
      <c r="D15" s="1">
        <v>4763</v>
      </c>
      <c r="E15" s="1">
        <v>5578</v>
      </c>
      <c r="F15" s="1">
        <v>4502</v>
      </c>
      <c r="G15" s="10">
        <v>1837</v>
      </c>
      <c r="H15" s="10">
        <v>2000</v>
      </c>
      <c r="I15" s="2">
        <f t="shared" si="1"/>
        <v>108</v>
      </c>
      <c r="J15" s="2">
        <f t="shared" si="2"/>
        <v>56</v>
      </c>
      <c r="K15" s="2">
        <f t="shared" si="3"/>
        <v>76</v>
      </c>
      <c r="L15" s="2">
        <f t="shared" si="4"/>
        <v>0</v>
      </c>
      <c r="M15" s="3">
        <f t="shared" si="10"/>
        <v>98</v>
      </c>
      <c r="N15" s="3">
        <f t="shared" si="11"/>
        <v>49</v>
      </c>
      <c r="O15" s="3">
        <f t="shared" si="12"/>
        <v>49</v>
      </c>
      <c r="P15" s="3">
        <f t="shared" si="13"/>
        <v>0</v>
      </c>
      <c r="Q15" s="19">
        <f t="shared" si="9"/>
        <v>1006</v>
      </c>
      <c r="R15" s="16">
        <f t="shared" si="0"/>
        <v>905</v>
      </c>
      <c r="S15" s="7">
        <f t="shared" si="0"/>
        <v>925</v>
      </c>
      <c r="T15" s="6">
        <f t="shared" si="0"/>
        <v>800</v>
      </c>
      <c r="U15" s="20"/>
      <c r="V15" s="20"/>
    </row>
    <row r="16" spans="2:24" hidden="1" x14ac:dyDescent="0.25">
      <c r="B16" s="11">
        <v>45200</v>
      </c>
      <c r="C16" s="1">
        <v>4952</v>
      </c>
      <c r="D16" s="1">
        <v>4771</v>
      </c>
      <c r="E16" s="1">
        <v>5593</v>
      </c>
      <c r="F16" s="1">
        <v>4530</v>
      </c>
      <c r="G16" s="10">
        <v>1839</v>
      </c>
      <c r="H16" s="10">
        <v>2005</v>
      </c>
      <c r="I16" s="2">
        <f t="shared" si="1"/>
        <v>40</v>
      </c>
      <c r="J16" s="2">
        <f t="shared" si="2"/>
        <v>32</v>
      </c>
      <c r="K16" s="2">
        <f t="shared" si="3"/>
        <v>60</v>
      </c>
      <c r="L16" s="2">
        <f t="shared" si="4"/>
        <v>112</v>
      </c>
      <c r="M16" s="3">
        <f t="shared" si="10"/>
        <v>39</v>
      </c>
      <c r="N16" s="3">
        <f t="shared" si="11"/>
        <v>39</v>
      </c>
      <c r="O16" s="3">
        <f t="shared" si="12"/>
        <v>39</v>
      </c>
      <c r="P16" s="3">
        <f t="shared" si="13"/>
        <v>78</v>
      </c>
      <c r="Q16" s="19">
        <f>I16+M16+1000</f>
        <v>1079</v>
      </c>
      <c r="R16" s="16">
        <f t="shared" si="0"/>
        <v>871</v>
      </c>
      <c r="S16" s="7">
        <f t="shared" si="0"/>
        <v>899</v>
      </c>
      <c r="T16" s="6">
        <f>L16+P16+1000</f>
        <v>1190</v>
      </c>
      <c r="U16" s="20"/>
      <c r="V16" s="20"/>
    </row>
    <row r="17" spans="2:23" hidden="1" x14ac:dyDescent="0.25">
      <c r="B17" s="11">
        <v>45231</v>
      </c>
      <c r="C17" s="1">
        <v>4969</v>
      </c>
      <c r="D17" s="1">
        <v>4787</v>
      </c>
      <c r="E17" s="1">
        <v>5599</v>
      </c>
      <c r="F17" s="1">
        <v>4537</v>
      </c>
      <c r="G17" s="10">
        <v>1841</v>
      </c>
      <c r="H17" s="10">
        <v>2005</v>
      </c>
      <c r="I17" s="2">
        <f>(C17-C16)*4.25</f>
        <v>72.25</v>
      </c>
      <c r="J17" s="2">
        <f>(D17-D16)*4.25</f>
        <v>68</v>
      </c>
      <c r="K17" s="2">
        <f>(E17-E16)*4.25</f>
        <v>25.5</v>
      </c>
      <c r="L17" s="2">
        <f>(F17-F16)*4.25</f>
        <v>29.75</v>
      </c>
      <c r="M17" s="3">
        <f t="shared" si="10"/>
        <v>14</v>
      </c>
      <c r="N17" s="3">
        <f t="shared" si="11"/>
        <v>14</v>
      </c>
      <c r="O17" s="3">
        <f t="shared" si="12"/>
        <v>14</v>
      </c>
      <c r="P17" s="3">
        <f t="shared" si="13"/>
        <v>14</v>
      </c>
      <c r="Q17" s="19">
        <f>I17+M17+1000</f>
        <v>1086.25</v>
      </c>
      <c r="R17" s="16">
        <f t="shared" si="0"/>
        <v>882</v>
      </c>
      <c r="S17" s="7">
        <f t="shared" si="0"/>
        <v>839.5</v>
      </c>
      <c r="T17" s="6">
        <f>L17+P17+1000</f>
        <v>1043.75</v>
      </c>
      <c r="U17" s="20"/>
      <c r="V17" s="20"/>
    </row>
    <row r="18" spans="2:23" hidden="1" x14ac:dyDescent="0.25">
      <c r="B18" s="11">
        <v>45261</v>
      </c>
      <c r="C18" s="1">
        <v>4978</v>
      </c>
      <c r="D18" s="1">
        <v>4799</v>
      </c>
      <c r="E18" s="1">
        <v>5601</v>
      </c>
      <c r="F18" s="1">
        <v>4563</v>
      </c>
      <c r="G18" s="10">
        <v>1843</v>
      </c>
      <c r="H18" s="10">
        <v>2010</v>
      </c>
      <c r="I18" s="2">
        <f t="shared" si="1"/>
        <v>36</v>
      </c>
      <c r="J18" s="2">
        <f t="shared" si="2"/>
        <v>48</v>
      </c>
      <c r="K18" s="2">
        <f t="shared" si="3"/>
        <v>8</v>
      </c>
      <c r="L18" s="2">
        <f t="shared" si="4"/>
        <v>104</v>
      </c>
      <c r="M18" s="3">
        <f t="shared" si="10"/>
        <v>49</v>
      </c>
      <c r="N18" s="3">
        <f t="shared" si="11"/>
        <v>49</v>
      </c>
      <c r="O18" s="3">
        <f t="shared" si="12"/>
        <v>49</v>
      </c>
      <c r="P18" s="3">
        <f t="shared" si="13"/>
        <v>49</v>
      </c>
      <c r="Q18" s="19">
        <f>I18+M18+1000</f>
        <v>1085</v>
      </c>
      <c r="R18" s="16">
        <f>J18+N18+1000</f>
        <v>1097</v>
      </c>
      <c r="S18" s="7">
        <f>K18+O18+1000</f>
        <v>1057</v>
      </c>
      <c r="T18" s="6">
        <f>L18+P18+1000</f>
        <v>1153</v>
      </c>
      <c r="U18" s="20"/>
      <c r="V18" s="20"/>
    </row>
    <row r="19" spans="2:23" hidden="1" x14ac:dyDescent="0.25">
      <c r="B19" s="11">
        <v>45292</v>
      </c>
      <c r="C19" s="1">
        <v>4990</v>
      </c>
      <c r="D19" s="1">
        <v>4812</v>
      </c>
      <c r="E19" s="1">
        <v>5603</v>
      </c>
      <c r="F19" s="1">
        <v>4591</v>
      </c>
      <c r="G19" s="10">
        <v>1844</v>
      </c>
      <c r="H19" s="10">
        <v>2013</v>
      </c>
      <c r="I19" s="2">
        <f>IF(COUNT($C$19:$H$19)=0, "", (C19-C18)*4)</f>
        <v>48</v>
      </c>
      <c r="J19" s="2">
        <f t="shared" ref="J19:L19" si="14">IF(COUNT($C$19:$H$19)=0, "", (D19-D18)*4)</f>
        <v>52</v>
      </c>
      <c r="K19" s="2">
        <f t="shared" si="14"/>
        <v>8</v>
      </c>
      <c r="L19" s="2">
        <f t="shared" si="14"/>
        <v>112</v>
      </c>
      <c r="M19" s="3">
        <f>IF(COUNT($C$19:$H$19)=0, "",ROUND((G19-G18+H19-H18)/G65*C65*28,0))</f>
        <v>28</v>
      </c>
      <c r="N19" s="3">
        <f>IF(COUNT($C$19:$H$19)=0, "",ROUND((G19-G18+H19-H18)/G65*D65*28,0))</f>
        <v>28</v>
      </c>
      <c r="O19" s="3">
        <f>IF(COUNT($C$19:$H$19)=0, "",ROUND((G19-G18+H19-H18)/G65*E65*28,0))</f>
        <v>28</v>
      </c>
      <c r="P19" s="3">
        <f>IF(COUNT($C$19:$H$19)=0, "",ROUND((G19-G18+H19-H18)/G65*F65*28,0))</f>
        <v>28</v>
      </c>
      <c r="Q19" s="19">
        <f>IF(COUNT($C$19:$H$19)=0,"",I19+M19+1000)</f>
        <v>1076</v>
      </c>
      <c r="R19" s="16">
        <f t="shared" ref="R19:T19" si="15">IF(COUNT($C$19:$H$19)=0,"",J19+N19+1000)</f>
        <v>1080</v>
      </c>
      <c r="S19" s="7">
        <f t="shared" si="15"/>
        <v>1036</v>
      </c>
      <c r="T19" s="6">
        <f t="shared" si="15"/>
        <v>1140</v>
      </c>
      <c r="U19" s="20"/>
      <c r="V19" s="20"/>
    </row>
    <row r="20" spans="2:23" hidden="1" x14ac:dyDescent="0.25">
      <c r="B20" s="11">
        <v>45323</v>
      </c>
      <c r="C20" s="1">
        <v>5000</v>
      </c>
      <c r="D20" s="1">
        <v>4826</v>
      </c>
      <c r="E20" s="1">
        <v>5615</v>
      </c>
      <c r="F20" s="1">
        <v>4622</v>
      </c>
      <c r="G20" s="10">
        <v>1846</v>
      </c>
      <c r="H20" s="10">
        <v>2019</v>
      </c>
      <c r="I20" s="2">
        <f>IF(COUNT(C20:H20)=0, "", (C20-C19)*4)</f>
        <v>40</v>
      </c>
      <c r="J20" s="2">
        <f>IF(COUNT(C20:H20)=0, "", (D20-D19)*4)</f>
        <v>56</v>
      </c>
      <c r="K20" s="2">
        <f>IF(COUNT(C20:H20)=0, "", (E20-E19)*4)</f>
        <v>48</v>
      </c>
      <c r="L20" s="2">
        <f>IF(COUNT(C20:H20)=0, "", (F20-F19)*4)</f>
        <v>124</v>
      </c>
      <c r="M20" s="3">
        <f>IF(COUNT(C20:H20)=0, "",ROUND((G20-G19+H20-H19)/G66*C66*28,0))</f>
        <v>56</v>
      </c>
      <c r="N20" s="3">
        <f>IF(COUNT(C20:H20)=0, "",ROUND((G20-G19+H20-H19)/G66*D66*28,0))</f>
        <v>56</v>
      </c>
      <c r="O20" s="3">
        <f>IF(COUNT(C20:H20)=0, "",ROUND((G20-G19+H20-H19)/G66*E66*28,0))</f>
        <v>56</v>
      </c>
      <c r="P20" s="3">
        <f>IF(COUNT(C20:H20)=0, "",ROUND((G20-G19+H20-H19)/G66*F66*28,0))</f>
        <v>56</v>
      </c>
      <c r="Q20" s="19">
        <f>IF(COUNT(C20:H20)=0,"",I20+M20+1000)</f>
        <v>1096</v>
      </c>
      <c r="R20" s="16">
        <f>IF(COUNT(C20:H20)=0,"",J20+N20+1000)</f>
        <v>1112</v>
      </c>
      <c r="S20" s="7">
        <f>IF(COUNT(C20:H20)=0,"",K20+O20+1000)</f>
        <v>1104</v>
      </c>
      <c r="T20" s="6">
        <f>IF(COUNT(C20:H20)=0,"",L20+P20+1000)</f>
        <v>1180</v>
      </c>
      <c r="U20" s="20"/>
      <c r="V20" s="20"/>
    </row>
    <row r="21" spans="2:23" hidden="1" x14ac:dyDescent="0.25">
      <c r="B21" s="11">
        <v>45352</v>
      </c>
      <c r="C21" s="1">
        <v>5024</v>
      </c>
      <c r="D21" s="1">
        <v>4839</v>
      </c>
      <c r="E21" s="1">
        <v>5624</v>
      </c>
      <c r="F21" s="1">
        <v>4683</v>
      </c>
      <c r="G21" s="10">
        <v>1849</v>
      </c>
      <c r="H21" s="10">
        <v>2026</v>
      </c>
      <c r="I21" s="2">
        <f t="shared" ref="I21:I27" si="16">IF(COUNT(C21:H21)=0, "", (C21-C20)*4)</f>
        <v>96</v>
      </c>
      <c r="J21" s="2">
        <f t="shared" ref="J21:J27" si="17">IF(COUNT(C21:H21)=0, "", (D21-D20)*4)</f>
        <v>52</v>
      </c>
      <c r="K21" s="2">
        <f t="shared" ref="K21:K27" si="18">IF(COUNT(C21:H21)=0, "", (E21-E20)*4)</f>
        <v>36</v>
      </c>
      <c r="L21" s="2">
        <f t="shared" ref="L21:L27" si="19">IF(COUNT(C21:H21)=0, "", (F21-F20)*4)</f>
        <v>244</v>
      </c>
      <c r="M21" s="3">
        <f>IF(COUNT(C21:H21)=0, "",ROUND((G21-G20+H21-H20)/G67*C67*28,0))</f>
        <v>70</v>
      </c>
      <c r="N21" s="3">
        <f>IF(COUNT(C21:H21)=0, "",ROUND((G21-G20+H21-H20)/G67*D67*28,0))</f>
        <v>70</v>
      </c>
      <c r="O21" s="3">
        <f>IF(COUNT(C21:H21)=0, "",ROUND((G21-G20+H21-H20)/G67*E67*28,0))</f>
        <v>70</v>
      </c>
      <c r="P21" s="3">
        <f>IF(COUNT(C21:H21)=0, "",ROUND((G21-G20+H21-H20)/G67*F67*28,0))</f>
        <v>70</v>
      </c>
      <c r="Q21" s="19">
        <f t="shared" ref="Q21:Q27" si="20">IF(COUNT(C21:H21)=0,"",I21+M21+1000)</f>
        <v>1166</v>
      </c>
      <c r="R21" s="16">
        <f t="shared" ref="R21:R27" si="21">IF(COUNT(C21:H21)=0,"",J21+N21+1000)</f>
        <v>1122</v>
      </c>
      <c r="S21" s="7">
        <f t="shared" ref="S21:S27" si="22">IF(COUNT(C21:H21)=0,"",K21+O21+1000)</f>
        <v>1106</v>
      </c>
      <c r="T21" s="6">
        <f>IF(COUNT(C21:H21)=0,"",L21+P21)</f>
        <v>314</v>
      </c>
      <c r="U21" s="20"/>
      <c r="V21" s="20"/>
    </row>
    <row r="22" spans="2:23" hidden="1" x14ac:dyDescent="0.25">
      <c r="B22" s="11">
        <v>45383</v>
      </c>
      <c r="C22" s="1">
        <v>5068</v>
      </c>
      <c r="D22" s="1">
        <v>4855</v>
      </c>
      <c r="E22" s="1">
        <v>5642</v>
      </c>
      <c r="F22" s="1">
        <v>4693</v>
      </c>
      <c r="G22" s="10">
        <v>1853</v>
      </c>
      <c r="H22" s="10">
        <v>2029</v>
      </c>
      <c r="I22" s="2">
        <f t="shared" si="16"/>
        <v>176</v>
      </c>
      <c r="J22" s="2">
        <f t="shared" si="17"/>
        <v>64</v>
      </c>
      <c r="K22" s="2">
        <f t="shared" si="18"/>
        <v>72</v>
      </c>
      <c r="L22" s="2">
        <f t="shared" si="19"/>
        <v>40</v>
      </c>
      <c r="M22" s="3">
        <f>IF(COUNT(C22:H22)=0, "",ROUND((G22-G21+H22-H21)/G68*C68*28,0))</f>
        <v>39</v>
      </c>
      <c r="N22" s="3">
        <f>IF(COUNT(C22:H22)=0, "",ROUND((G22-G21+H22-H21)/G68*D68*28,0))</f>
        <v>39</v>
      </c>
      <c r="O22" s="3">
        <f>IF(COUNT(C22:H22)=0, "",ROUND((G22-G21+H22-H21)/G68*E68*28,0))</f>
        <v>78</v>
      </c>
      <c r="P22" s="3">
        <f>IF(COUNT(C22:H22)=0, "",ROUND((G22-G21+H22-H21)/G68*F68*28,0))</f>
        <v>39</v>
      </c>
      <c r="Q22" s="19">
        <f t="shared" si="20"/>
        <v>1215</v>
      </c>
      <c r="R22" s="16">
        <f t="shared" si="21"/>
        <v>1103</v>
      </c>
      <c r="S22" s="7">
        <f t="shared" si="22"/>
        <v>1150</v>
      </c>
      <c r="T22" s="6">
        <f t="shared" ref="T22:T27" si="23">IF(COUNT(C22:H22)=0,"",L22+P22+1000)</f>
        <v>1079</v>
      </c>
      <c r="U22" s="20"/>
      <c r="V22" s="20"/>
    </row>
    <row r="23" spans="2:23" hidden="1" x14ac:dyDescent="0.25">
      <c r="B23" s="11">
        <v>45413</v>
      </c>
      <c r="C23" s="1">
        <v>5109</v>
      </c>
      <c r="D23" s="1">
        <v>4874</v>
      </c>
      <c r="E23" s="1">
        <v>5654</v>
      </c>
      <c r="F23" s="1">
        <v>4705</v>
      </c>
      <c r="G23" s="10">
        <v>1857</v>
      </c>
      <c r="H23" s="10">
        <v>2032</v>
      </c>
      <c r="I23" s="2">
        <f t="shared" si="16"/>
        <v>164</v>
      </c>
      <c r="J23" s="2">
        <f t="shared" si="17"/>
        <v>76</v>
      </c>
      <c r="K23" s="2">
        <f t="shared" si="18"/>
        <v>48</v>
      </c>
      <c r="L23" s="2">
        <f t="shared" si="19"/>
        <v>48</v>
      </c>
      <c r="M23" s="3">
        <f>IF(COUNT(C23:H23)=0, "",ROUND((G23-G22+H23-H22)/G69*C69*35,0))</f>
        <v>49</v>
      </c>
      <c r="N23" s="3">
        <f>IF(COUNT(C23:H23)=0, "",ROUND((G23-G22+H23-H22)/G69*D69*35,0))</f>
        <v>49</v>
      </c>
      <c r="O23" s="3">
        <f>IF(COUNT(C23:H23)=0, "",ROUND((G23-G22+H23-H22)/G69*E69*35,0))</f>
        <v>49</v>
      </c>
      <c r="P23" s="3">
        <f>IF(COUNT(C23:H23)=0, "",ROUND((G23-G22+H23-H22)/G69*F69*35,0))</f>
        <v>98</v>
      </c>
      <c r="Q23" s="19">
        <f t="shared" si="20"/>
        <v>1213</v>
      </c>
      <c r="R23" s="16">
        <f t="shared" si="21"/>
        <v>1125</v>
      </c>
      <c r="S23" s="7">
        <f t="shared" si="22"/>
        <v>1097</v>
      </c>
      <c r="T23" s="6">
        <f t="shared" si="23"/>
        <v>1146</v>
      </c>
      <c r="U23" s="20"/>
      <c r="V23" s="20"/>
    </row>
    <row r="24" spans="2:23" hidden="1" x14ac:dyDescent="0.25">
      <c r="B24" s="11">
        <v>45444</v>
      </c>
      <c r="C24" s="1">
        <v>5171</v>
      </c>
      <c r="D24" s="1">
        <v>4889</v>
      </c>
      <c r="E24" s="1">
        <v>5670</v>
      </c>
      <c r="F24" s="1">
        <v>4727</v>
      </c>
      <c r="G24" s="10">
        <v>1860</v>
      </c>
      <c r="H24" s="10">
        <v>2037</v>
      </c>
      <c r="I24" s="2">
        <f t="shared" si="16"/>
        <v>248</v>
      </c>
      <c r="J24" s="2">
        <f t="shared" si="17"/>
        <v>60</v>
      </c>
      <c r="K24" s="2">
        <f t="shared" si="18"/>
        <v>64</v>
      </c>
      <c r="L24" s="2">
        <f t="shared" si="19"/>
        <v>88</v>
      </c>
      <c r="M24" s="3">
        <f t="shared" ref="M24:M30" si="24">IF(COUNT(C24:H24)=0, "",ROUND((G24-G23+H24-H23)/G70*C70*28,0))</f>
        <v>32</v>
      </c>
      <c r="N24" s="3">
        <f t="shared" ref="N24:N30" si="25">IF(COUNT(C24:H24)=0, "",ROUND((G24-G23+H24-H23)/G70*D70*28,0))</f>
        <v>64</v>
      </c>
      <c r="O24" s="3">
        <f t="shared" ref="O24:O30" si="26">IF(COUNT(C24:H24)=0, "",ROUND((G24-G23+H24-H23)/G70*E70*28,0))</f>
        <v>64</v>
      </c>
      <c r="P24" s="3">
        <f t="shared" ref="P24:P30" si="27">IF(COUNT(C24:H24)=0, "",ROUND((G24-G23+H24-H23)/G70*F70*28,0))</f>
        <v>64</v>
      </c>
      <c r="Q24" s="19">
        <f t="shared" si="20"/>
        <v>1280</v>
      </c>
      <c r="R24" s="16">
        <f t="shared" si="21"/>
        <v>1124</v>
      </c>
      <c r="S24" s="7">
        <f t="shared" si="22"/>
        <v>1128</v>
      </c>
      <c r="T24" s="6">
        <f t="shared" si="23"/>
        <v>1152</v>
      </c>
      <c r="U24" s="20"/>
      <c r="V24" s="20"/>
    </row>
    <row r="25" spans="2:23" hidden="1" x14ac:dyDescent="0.25">
      <c r="B25" s="11">
        <v>45474</v>
      </c>
      <c r="C25" s="1">
        <v>5182</v>
      </c>
      <c r="D25" s="1">
        <v>4906</v>
      </c>
      <c r="E25" s="1">
        <v>5680</v>
      </c>
      <c r="F25" s="1">
        <v>4745</v>
      </c>
      <c r="G25" s="10">
        <v>1863</v>
      </c>
      <c r="H25" s="10">
        <v>2040</v>
      </c>
      <c r="I25" s="2">
        <f t="shared" si="16"/>
        <v>44</v>
      </c>
      <c r="J25" s="2">
        <f t="shared" si="17"/>
        <v>68</v>
      </c>
      <c r="K25" s="2">
        <f t="shared" si="18"/>
        <v>40</v>
      </c>
      <c r="L25" s="2">
        <f t="shared" si="19"/>
        <v>72</v>
      </c>
      <c r="M25" s="3">
        <f t="shared" si="24"/>
        <v>42</v>
      </c>
      <c r="N25" s="3">
        <f t="shared" si="25"/>
        <v>42</v>
      </c>
      <c r="O25" s="3">
        <f t="shared" si="26"/>
        <v>42</v>
      </c>
      <c r="P25" s="3">
        <f t="shared" si="27"/>
        <v>42</v>
      </c>
      <c r="Q25" s="19">
        <f t="shared" si="20"/>
        <v>1086</v>
      </c>
      <c r="R25" s="16">
        <f t="shared" si="21"/>
        <v>1110</v>
      </c>
      <c r="S25" s="7">
        <f t="shared" si="22"/>
        <v>1082</v>
      </c>
      <c r="T25" s="6">
        <f t="shared" si="23"/>
        <v>1114</v>
      </c>
      <c r="U25" s="20">
        <f>SUM(I25:L25)</f>
        <v>224</v>
      </c>
      <c r="V25" s="20">
        <f>SUM(M25:P25)</f>
        <v>168</v>
      </c>
    </row>
    <row r="26" spans="2:23" hidden="1" x14ac:dyDescent="0.25">
      <c r="B26" s="11">
        <v>45505</v>
      </c>
      <c r="C26" s="1">
        <v>5194</v>
      </c>
      <c r="D26" s="1">
        <v>4923</v>
      </c>
      <c r="E26" s="1">
        <v>5693</v>
      </c>
      <c r="F26" s="1">
        <v>4761</v>
      </c>
      <c r="G26" s="10">
        <v>1867</v>
      </c>
      <c r="H26" s="10">
        <v>2043</v>
      </c>
      <c r="I26" s="2">
        <f t="shared" si="16"/>
        <v>48</v>
      </c>
      <c r="J26" s="2">
        <f t="shared" si="17"/>
        <v>68</v>
      </c>
      <c r="K26" s="2">
        <f t="shared" si="18"/>
        <v>52</v>
      </c>
      <c r="L26" s="2">
        <f t="shared" si="19"/>
        <v>64</v>
      </c>
      <c r="M26" s="3">
        <f t="shared" si="24"/>
        <v>49</v>
      </c>
      <c r="N26" s="3">
        <f t="shared" si="25"/>
        <v>49</v>
      </c>
      <c r="O26" s="3">
        <f t="shared" si="26"/>
        <v>49</v>
      </c>
      <c r="P26" s="3">
        <f t="shared" si="27"/>
        <v>49</v>
      </c>
      <c r="Q26" s="19">
        <f t="shared" si="20"/>
        <v>1097</v>
      </c>
      <c r="R26" s="16">
        <f t="shared" si="21"/>
        <v>1117</v>
      </c>
      <c r="S26" s="7">
        <f t="shared" si="22"/>
        <v>1101</v>
      </c>
      <c r="T26" s="6">
        <f>IF(COUNT(C26:H26)=0,"",L26+P26+1000)</f>
        <v>1113</v>
      </c>
      <c r="U26" s="20">
        <f t="shared" ref="U26:U39" si="28">SUM(I26:L26)</f>
        <v>232</v>
      </c>
      <c r="V26" s="20">
        <f t="shared" ref="V26:V39" si="29">SUM(M26:P26)</f>
        <v>196</v>
      </c>
    </row>
    <row r="27" spans="2:23" hidden="1" x14ac:dyDescent="0.25">
      <c r="B27" s="11">
        <v>45536</v>
      </c>
      <c r="C27" s="1">
        <v>5205</v>
      </c>
      <c r="D27" s="1">
        <v>4937</v>
      </c>
      <c r="E27" s="1">
        <v>5712</v>
      </c>
      <c r="F27" s="1">
        <v>4786</v>
      </c>
      <c r="G27" s="10">
        <v>1870</v>
      </c>
      <c r="H27" s="10">
        <v>2046</v>
      </c>
      <c r="I27" s="2">
        <f t="shared" si="16"/>
        <v>44</v>
      </c>
      <c r="J27" s="2">
        <f t="shared" si="17"/>
        <v>56</v>
      </c>
      <c r="K27" s="2">
        <f t="shared" si="18"/>
        <v>76</v>
      </c>
      <c r="L27" s="2">
        <f t="shared" si="19"/>
        <v>100</v>
      </c>
      <c r="M27" s="3">
        <f t="shared" si="24"/>
        <v>42</v>
      </c>
      <c r="N27" s="3">
        <f t="shared" si="25"/>
        <v>42</v>
      </c>
      <c r="O27" s="3">
        <f t="shared" si="26"/>
        <v>42</v>
      </c>
      <c r="P27" s="3">
        <f t="shared" si="27"/>
        <v>42</v>
      </c>
      <c r="Q27" s="19">
        <f t="shared" si="20"/>
        <v>1086</v>
      </c>
      <c r="R27" s="16">
        <f t="shared" si="21"/>
        <v>1098</v>
      </c>
      <c r="S27" s="7">
        <f t="shared" si="22"/>
        <v>1118</v>
      </c>
      <c r="T27" s="6">
        <f t="shared" si="23"/>
        <v>1142</v>
      </c>
      <c r="U27" s="20">
        <f t="shared" si="28"/>
        <v>276</v>
      </c>
      <c r="V27" s="20">
        <f t="shared" si="29"/>
        <v>168</v>
      </c>
    </row>
    <row r="28" spans="2:23" hidden="1" x14ac:dyDescent="0.25">
      <c r="B28" s="11">
        <v>45566</v>
      </c>
      <c r="C28" s="1">
        <v>5220</v>
      </c>
      <c r="D28" s="1">
        <v>4954</v>
      </c>
      <c r="E28" s="1">
        <v>5721</v>
      </c>
      <c r="F28" s="1">
        <v>4811</v>
      </c>
      <c r="G28" s="10">
        <v>1873</v>
      </c>
      <c r="H28" s="10">
        <v>2049</v>
      </c>
      <c r="I28" s="2">
        <f>IF(COUNT(C28:H28)=0, "", (C28-C27)*5)</f>
        <v>75</v>
      </c>
      <c r="J28" s="2">
        <f t="shared" ref="J28:L32" si="30">IF(COUNT(D28:I28)=0, "", (D28-D27)*5)</f>
        <v>85</v>
      </c>
      <c r="K28" s="2">
        <f t="shared" si="30"/>
        <v>45</v>
      </c>
      <c r="L28" s="2">
        <f t="shared" si="30"/>
        <v>125</v>
      </c>
      <c r="M28" s="3">
        <f t="shared" si="24"/>
        <v>34</v>
      </c>
      <c r="N28" s="3">
        <f t="shared" si="25"/>
        <v>34</v>
      </c>
      <c r="O28" s="3">
        <f t="shared" si="26"/>
        <v>67</v>
      </c>
      <c r="P28" s="3">
        <f t="shared" si="27"/>
        <v>34</v>
      </c>
      <c r="Q28" s="19">
        <f t="shared" ref="Q28:Q32" si="31">IF(COUNT(C28:H28)=0,"",I28+M28+1000)</f>
        <v>1109</v>
      </c>
      <c r="R28" s="16">
        <f t="shared" ref="R28:R32" si="32">IF(COUNT(C28:H28)=0,"",J28+N28+1000)</f>
        <v>1119</v>
      </c>
      <c r="S28" s="7">
        <f t="shared" ref="S28:S32" si="33">IF(COUNT(C28:H28)=0,"",K28+O28+1000)</f>
        <v>1112</v>
      </c>
      <c r="T28" s="6">
        <f t="shared" ref="T28:T32" si="34">IF(COUNT(C28:H28)=0,"",L28+P28+1000)</f>
        <v>1159</v>
      </c>
      <c r="U28" s="20">
        <f t="shared" si="28"/>
        <v>330</v>
      </c>
      <c r="V28" s="20">
        <f t="shared" si="29"/>
        <v>169</v>
      </c>
    </row>
    <row r="29" spans="2:23" hidden="1" x14ac:dyDescent="0.25">
      <c r="B29" s="11">
        <v>45597</v>
      </c>
      <c r="C29" s="1">
        <v>5235</v>
      </c>
      <c r="D29" s="1">
        <v>4964</v>
      </c>
      <c r="E29" s="1">
        <v>5729</v>
      </c>
      <c r="F29" s="1">
        <v>4841</v>
      </c>
      <c r="G29" s="10">
        <v>1875</v>
      </c>
      <c r="H29" s="10">
        <v>2052</v>
      </c>
      <c r="I29" s="2">
        <f t="shared" ref="I29:I32" si="35">IF(COUNT(C29:H29)=0, "", (C29-C28)*5)</f>
        <v>75</v>
      </c>
      <c r="J29" s="2">
        <f t="shared" si="30"/>
        <v>50</v>
      </c>
      <c r="K29" s="2">
        <f t="shared" si="30"/>
        <v>40</v>
      </c>
      <c r="L29" s="2">
        <f t="shared" si="30"/>
        <v>150</v>
      </c>
      <c r="M29" s="3">
        <f t="shared" si="24"/>
        <v>28</v>
      </c>
      <c r="N29" s="3">
        <f t="shared" si="25"/>
        <v>28</v>
      </c>
      <c r="O29" s="3">
        <f t="shared" si="26"/>
        <v>56</v>
      </c>
      <c r="P29" s="3">
        <f t="shared" si="27"/>
        <v>28</v>
      </c>
      <c r="Q29" s="19">
        <f t="shared" si="31"/>
        <v>1103</v>
      </c>
      <c r="R29" s="16">
        <f t="shared" si="32"/>
        <v>1078</v>
      </c>
      <c r="S29" s="7">
        <f t="shared" si="33"/>
        <v>1096</v>
      </c>
      <c r="T29" s="6">
        <f t="shared" si="34"/>
        <v>1178</v>
      </c>
      <c r="U29" s="20">
        <f t="shared" si="28"/>
        <v>315</v>
      </c>
      <c r="V29" s="20">
        <f t="shared" si="29"/>
        <v>140</v>
      </c>
    </row>
    <row r="30" spans="2:23" hidden="1" x14ac:dyDescent="0.25">
      <c r="B30" s="11">
        <v>45627</v>
      </c>
      <c r="C30" s="1">
        <v>5240</v>
      </c>
      <c r="D30" s="1">
        <v>4970</v>
      </c>
      <c r="E30" s="1">
        <v>5733</v>
      </c>
      <c r="F30" s="1">
        <v>4853</v>
      </c>
      <c r="G30" s="10">
        <v>1876</v>
      </c>
      <c r="H30" s="10">
        <v>2053</v>
      </c>
      <c r="I30" s="2">
        <f t="shared" si="35"/>
        <v>25</v>
      </c>
      <c r="J30" s="2">
        <f t="shared" si="30"/>
        <v>30</v>
      </c>
      <c r="K30" s="2">
        <f t="shared" si="30"/>
        <v>20</v>
      </c>
      <c r="L30" s="2">
        <f t="shared" si="30"/>
        <v>60</v>
      </c>
      <c r="M30" s="3">
        <f t="shared" si="24"/>
        <v>11</v>
      </c>
      <c r="N30" s="3">
        <f t="shared" si="25"/>
        <v>11</v>
      </c>
      <c r="O30" s="3">
        <f t="shared" si="26"/>
        <v>22</v>
      </c>
      <c r="P30" s="3">
        <f t="shared" si="27"/>
        <v>11</v>
      </c>
      <c r="Q30" s="19">
        <f t="shared" si="31"/>
        <v>1036</v>
      </c>
      <c r="R30" s="16">
        <f t="shared" si="32"/>
        <v>1041</v>
      </c>
      <c r="S30" s="7">
        <f t="shared" si="33"/>
        <v>1042</v>
      </c>
      <c r="T30" s="6">
        <f t="shared" si="34"/>
        <v>1071</v>
      </c>
      <c r="U30" s="20">
        <f t="shared" si="28"/>
        <v>135</v>
      </c>
      <c r="V30" s="20">
        <f t="shared" si="29"/>
        <v>55</v>
      </c>
    </row>
    <row r="31" spans="2:23" x14ac:dyDescent="0.25">
      <c r="B31" s="11">
        <v>45658</v>
      </c>
      <c r="C31" s="1">
        <v>5246</v>
      </c>
      <c r="D31" s="1">
        <v>4976</v>
      </c>
      <c r="E31" s="1">
        <v>5736</v>
      </c>
      <c r="F31" s="1">
        <v>4879</v>
      </c>
      <c r="G31" s="10">
        <v>1877</v>
      </c>
      <c r="H31" s="10">
        <v>2054</v>
      </c>
      <c r="I31" s="2">
        <f t="shared" si="35"/>
        <v>30</v>
      </c>
      <c r="J31" s="2">
        <f t="shared" si="30"/>
        <v>30</v>
      </c>
      <c r="K31" s="2">
        <f t="shared" si="30"/>
        <v>15</v>
      </c>
      <c r="L31" s="2">
        <f t="shared" si="30"/>
        <v>130</v>
      </c>
      <c r="M31" s="3">
        <f>IF(COUNT(C31:H31)=0, "",ROUND((G31-G30+H31-H30)/G77*C77*32,0))</f>
        <v>13</v>
      </c>
      <c r="N31" s="3">
        <f>IF(COUNT(C31:H31)=0, "",ROUND((G31-G30+H31-H30)/G77*D77*32,0))</f>
        <v>13</v>
      </c>
      <c r="O31" s="3">
        <f>IF(COUNT(C31:H31)=0, "",ROUND((G31-G30+H31-H30)/G77*E77*32,0))</f>
        <v>26</v>
      </c>
      <c r="P31" s="3">
        <f>IF(COUNT(C31:H31)=0, "",ROUND((G31-G30+H31-H30)/G77*F77*32,0))</f>
        <v>13</v>
      </c>
      <c r="Q31" s="19">
        <f t="shared" si="31"/>
        <v>1043</v>
      </c>
      <c r="R31" s="16">
        <f t="shared" si="32"/>
        <v>1043</v>
      </c>
      <c r="S31" s="7">
        <f t="shared" si="33"/>
        <v>1041</v>
      </c>
      <c r="T31" s="6">
        <f t="shared" si="34"/>
        <v>1143</v>
      </c>
      <c r="U31" s="20">
        <f t="shared" si="28"/>
        <v>205</v>
      </c>
      <c r="V31" s="20">
        <f t="shared" si="29"/>
        <v>65</v>
      </c>
      <c r="W31">
        <f>U31+V31</f>
        <v>270</v>
      </c>
    </row>
    <row r="32" spans="2:23" x14ac:dyDescent="0.25">
      <c r="B32" s="11">
        <v>45689</v>
      </c>
      <c r="C32" s="1">
        <v>5250</v>
      </c>
      <c r="D32" s="1">
        <v>4992</v>
      </c>
      <c r="E32" s="1">
        <v>5738</v>
      </c>
      <c r="F32" s="1">
        <v>4899</v>
      </c>
      <c r="G32" s="10">
        <v>1879</v>
      </c>
      <c r="H32" s="10">
        <v>2055</v>
      </c>
      <c r="I32" s="2">
        <f t="shared" si="35"/>
        <v>20</v>
      </c>
      <c r="J32" s="2">
        <f t="shared" si="30"/>
        <v>80</v>
      </c>
      <c r="K32" s="2">
        <f t="shared" si="30"/>
        <v>10</v>
      </c>
      <c r="L32" s="2">
        <f t="shared" si="30"/>
        <v>100</v>
      </c>
      <c r="M32" s="3">
        <f>IF(COUNT(C32:H32)=0, "",ROUND((G32-G31+H32-H31)/G78*C78*32,0))</f>
        <v>32</v>
      </c>
      <c r="N32" s="3">
        <f>IF(COUNT(C32:H32)=0, "",ROUND((G32-G31+H32-H31)/G78*D78*32,0))</f>
        <v>32</v>
      </c>
      <c r="O32" s="3">
        <f>IF(COUNT(C32:H32)=0, "",ROUND((G32-G31+H32-H31)/G78*E78*32,0))</f>
        <v>0</v>
      </c>
      <c r="P32" s="3">
        <f>IF(COUNT(C32:H32)=0, "",ROUND((G32-G31+H32-H31)/G78*F78*32,0))</f>
        <v>32</v>
      </c>
      <c r="Q32" s="19">
        <f t="shared" si="31"/>
        <v>1052</v>
      </c>
      <c r="R32" s="16">
        <f t="shared" si="32"/>
        <v>1112</v>
      </c>
      <c r="S32" s="7">
        <f t="shared" si="33"/>
        <v>1010</v>
      </c>
      <c r="T32" s="6">
        <f t="shared" si="34"/>
        <v>1132</v>
      </c>
      <c r="U32" s="20">
        <f t="shared" si="28"/>
        <v>210</v>
      </c>
      <c r="V32" s="20">
        <f t="shared" si="29"/>
        <v>96</v>
      </c>
      <c r="W32">
        <f t="shared" ref="W32:W39" si="36">U32+V32</f>
        <v>306</v>
      </c>
    </row>
    <row r="33" spans="2:23" ht="19.5" customHeight="1" x14ac:dyDescent="0.25">
      <c r="B33" s="11">
        <v>45717</v>
      </c>
      <c r="C33" s="1">
        <v>5256</v>
      </c>
      <c r="D33" s="1">
        <v>5009</v>
      </c>
      <c r="E33" s="1">
        <v>5766</v>
      </c>
      <c r="F33" s="1">
        <v>4923</v>
      </c>
      <c r="G33" s="10">
        <v>1881</v>
      </c>
      <c r="H33" s="10">
        <v>2058</v>
      </c>
      <c r="I33" s="2">
        <f t="shared" ref="I33:I39" si="37">IF(COUNT(C33:H33)=0, "", (C33-C32)*5)</f>
        <v>30</v>
      </c>
      <c r="J33" s="2">
        <f t="shared" ref="J33:J39" si="38">IF(COUNT(D33:I33)=0, "", (D33-D32)*5)</f>
        <v>85</v>
      </c>
      <c r="K33" s="2">
        <f t="shared" ref="K33:K39" si="39">IF(COUNT(E33:J33)=0, "", (E33-E32)*5)</f>
        <v>140</v>
      </c>
      <c r="L33" s="2">
        <f t="shared" ref="L33:L39" si="40">IF(COUNT(F33:K33)=0, "", (F33-F32)*5)</f>
        <v>120</v>
      </c>
      <c r="M33" s="3">
        <f>IF(COUNT(C33:H33)=0, "",ROUND((G33-G32+H33-H32)/G79*C79*32,0))</f>
        <v>32</v>
      </c>
      <c r="N33" s="3">
        <f>IF(COUNT(C33:H33)=0, "",ROUND((G33-G32+H33-H32)/G79*D79*32,0))</f>
        <v>32</v>
      </c>
      <c r="O33" s="3">
        <f>IF(COUNT(C33:H33)=0, "",ROUND((G33-G32+H33-H32)/G79*E79*32,0))</f>
        <v>64</v>
      </c>
      <c r="P33" s="3">
        <f>IF(COUNT(C33:H33)=0, "",ROUND((G33-G32+H33-H32)/G79*F79*32,0))</f>
        <v>32</v>
      </c>
      <c r="Q33" s="19">
        <f t="shared" ref="Q33:Q39" si="41">IF(COUNT(C33:H33)=0,"",I33+M33+1000)</f>
        <v>1062</v>
      </c>
      <c r="R33" s="16">
        <f t="shared" ref="R33:R39" si="42">IF(COUNT(C33:H33)=0,"",J33+N33+1000)</f>
        <v>1117</v>
      </c>
      <c r="S33" s="7">
        <f t="shared" ref="S33:S39" si="43">IF(COUNT(C33:H33)=0,"",K33+O33+1000)</f>
        <v>1204</v>
      </c>
      <c r="T33" s="6">
        <f t="shared" ref="T33:T39" si="44">IF(COUNT(C33:H33)=0,"",L33+P33+1000)</f>
        <v>1152</v>
      </c>
      <c r="U33" s="20">
        <f t="shared" si="28"/>
        <v>375</v>
      </c>
      <c r="V33" s="20">
        <f t="shared" si="29"/>
        <v>160</v>
      </c>
      <c r="W33">
        <f t="shared" si="36"/>
        <v>535</v>
      </c>
    </row>
    <row r="34" spans="2:23" ht="19.5" customHeight="1" x14ac:dyDescent="0.25">
      <c r="B34" s="11">
        <v>45748</v>
      </c>
      <c r="C34" s="1">
        <v>5264</v>
      </c>
      <c r="D34" s="1">
        <v>5015</v>
      </c>
      <c r="E34" s="1">
        <v>5778</v>
      </c>
      <c r="F34" s="1">
        <v>4934</v>
      </c>
      <c r="G34" s="10"/>
      <c r="H34" s="10"/>
      <c r="I34" s="2">
        <f t="shared" si="37"/>
        <v>40</v>
      </c>
      <c r="J34" s="2">
        <f t="shared" si="38"/>
        <v>30</v>
      </c>
      <c r="K34" s="2">
        <f t="shared" si="39"/>
        <v>60</v>
      </c>
      <c r="L34" s="2">
        <f t="shared" si="40"/>
        <v>55</v>
      </c>
      <c r="M34" s="3">
        <f t="shared" ref="M34:P36" si="45">C80*50</f>
        <v>50</v>
      </c>
      <c r="N34" s="3">
        <f t="shared" si="45"/>
        <v>100</v>
      </c>
      <c r="O34" s="3">
        <f t="shared" si="45"/>
        <v>100</v>
      </c>
      <c r="P34" s="3">
        <f t="shared" si="45"/>
        <v>50</v>
      </c>
      <c r="Q34" s="19">
        <f t="shared" si="41"/>
        <v>1090</v>
      </c>
      <c r="R34" s="16">
        <f t="shared" si="42"/>
        <v>1130</v>
      </c>
      <c r="S34" s="7">
        <f t="shared" si="43"/>
        <v>1160</v>
      </c>
      <c r="T34" s="6">
        <f t="shared" si="44"/>
        <v>1105</v>
      </c>
      <c r="U34" s="20">
        <f t="shared" si="28"/>
        <v>185</v>
      </c>
      <c r="V34" s="20">
        <f t="shared" si="29"/>
        <v>300</v>
      </c>
      <c r="W34">
        <f t="shared" si="36"/>
        <v>485</v>
      </c>
    </row>
    <row r="35" spans="2:23" ht="19.5" customHeight="1" x14ac:dyDescent="0.25">
      <c r="B35" s="11">
        <v>45778</v>
      </c>
      <c r="C35" s="1">
        <v>5271</v>
      </c>
      <c r="D35" s="1">
        <v>5032</v>
      </c>
      <c r="E35" s="1">
        <v>5797</v>
      </c>
      <c r="F35" s="1">
        <v>4961</v>
      </c>
      <c r="G35" s="10"/>
      <c r="H35" s="10"/>
      <c r="I35" s="2">
        <f>IF(COUNT(C35:H35)=0, "", (C35-C34)*6)</f>
        <v>42</v>
      </c>
      <c r="J35" s="2">
        <f>IF(COUNT(D35:I35)=0, "", (D35-D34)*6)</f>
        <v>102</v>
      </c>
      <c r="K35" s="2">
        <f>IF(COUNT(E35:J35)=0, "", (E35-E34)*6)</f>
        <v>114</v>
      </c>
      <c r="L35" s="2">
        <f>IF(COUNT(F35:K35)=0, "", (F35-F34)*6)</f>
        <v>162</v>
      </c>
      <c r="M35" s="3">
        <f t="shared" si="45"/>
        <v>50</v>
      </c>
      <c r="N35" s="3">
        <f t="shared" si="45"/>
        <v>100</v>
      </c>
      <c r="O35" s="3">
        <f t="shared" si="45"/>
        <v>100</v>
      </c>
      <c r="P35" s="3">
        <f t="shared" si="45"/>
        <v>50</v>
      </c>
      <c r="Q35" s="19">
        <f t="shared" si="41"/>
        <v>1092</v>
      </c>
      <c r="R35" s="16">
        <f t="shared" si="42"/>
        <v>1202</v>
      </c>
      <c r="S35" s="7">
        <f t="shared" si="43"/>
        <v>1214</v>
      </c>
      <c r="T35" s="6">
        <f t="shared" si="44"/>
        <v>1212</v>
      </c>
      <c r="U35" s="20">
        <f t="shared" si="28"/>
        <v>420</v>
      </c>
      <c r="V35" s="20">
        <f t="shared" si="29"/>
        <v>300</v>
      </c>
      <c r="W35">
        <f t="shared" si="36"/>
        <v>720</v>
      </c>
    </row>
    <row r="36" spans="2:23" ht="19.5" customHeight="1" x14ac:dyDescent="0.25">
      <c r="B36" s="11">
        <v>45809</v>
      </c>
      <c r="C36" s="1">
        <v>5277</v>
      </c>
      <c r="D36" s="1">
        <v>5055</v>
      </c>
      <c r="E36" s="1">
        <v>5821</v>
      </c>
      <c r="F36" s="1">
        <v>4982</v>
      </c>
      <c r="G36" s="10"/>
      <c r="H36" s="10"/>
      <c r="I36" s="2">
        <f t="shared" si="37"/>
        <v>30</v>
      </c>
      <c r="J36" s="2">
        <f t="shared" si="38"/>
        <v>115</v>
      </c>
      <c r="K36" s="2">
        <f t="shared" si="39"/>
        <v>120</v>
      </c>
      <c r="L36" s="2">
        <f t="shared" si="40"/>
        <v>105</v>
      </c>
      <c r="M36" s="3">
        <f t="shared" si="45"/>
        <v>50</v>
      </c>
      <c r="N36" s="3">
        <f t="shared" si="45"/>
        <v>100</v>
      </c>
      <c r="O36" s="3">
        <f t="shared" si="45"/>
        <v>100</v>
      </c>
      <c r="P36" s="3">
        <f t="shared" si="45"/>
        <v>50</v>
      </c>
      <c r="Q36" s="19">
        <f t="shared" si="41"/>
        <v>1080</v>
      </c>
      <c r="R36" s="16">
        <f t="shared" si="42"/>
        <v>1215</v>
      </c>
      <c r="S36" s="7">
        <f t="shared" si="43"/>
        <v>1220</v>
      </c>
      <c r="T36" s="6">
        <f t="shared" si="44"/>
        <v>1155</v>
      </c>
      <c r="U36" s="20">
        <f t="shared" si="28"/>
        <v>370</v>
      </c>
      <c r="V36" s="20">
        <f t="shared" si="29"/>
        <v>300</v>
      </c>
      <c r="W36">
        <f t="shared" si="36"/>
        <v>670</v>
      </c>
    </row>
    <row r="37" spans="2:23" x14ac:dyDescent="0.25">
      <c r="B37" s="11">
        <v>45839</v>
      </c>
      <c r="C37" s="1">
        <v>5284</v>
      </c>
      <c r="D37" s="1">
        <v>5079</v>
      </c>
      <c r="E37" s="1">
        <v>5852</v>
      </c>
      <c r="F37" s="1">
        <v>5009</v>
      </c>
      <c r="G37" s="10"/>
      <c r="H37" s="10"/>
      <c r="I37" s="2">
        <f t="shared" si="37"/>
        <v>35</v>
      </c>
      <c r="J37" s="2">
        <f t="shared" si="38"/>
        <v>120</v>
      </c>
      <c r="K37" s="2">
        <f t="shared" si="39"/>
        <v>155</v>
      </c>
      <c r="L37" s="2">
        <f t="shared" si="40"/>
        <v>135</v>
      </c>
      <c r="M37" s="3">
        <f t="shared" ref="M37:M39" si="46">C83*50</f>
        <v>50</v>
      </c>
      <c r="N37" s="3">
        <f t="shared" ref="N37:N39" si="47">D83*50</f>
        <v>100</v>
      </c>
      <c r="O37" s="3">
        <f t="shared" ref="O37:O39" si="48">E83*50</f>
        <v>100</v>
      </c>
      <c r="P37" s="3">
        <f t="shared" ref="P37:P39" si="49">F83*50</f>
        <v>50</v>
      </c>
      <c r="Q37" s="19">
        <f t="shared" si="41"/>
        <v>1085</v>
      </c>
      <c r="R37" s="16">
        <f t="shared" si="42"/>
        <v>1220</v>
      </c>
      <c r="S37" s="7">
        <f t="shared" si="43"/>
        <v>1255</v>
      </c>
      <c r="T37" s="6">
        <f t="shared" si="44"/>
        <v>1185</v>
      </c>
      <c r="U37" s="20">
        <f t="shared" si="28"/>
        <v>445</v>
      </c>
      <c r="V37" s="20">
        <f t="shared" si="29"/>
        <v>300</v>
      </c>
      <c r="W37">
        <f t="shared" si="36"/>
        <v>745</v>
      </c>
    </row>
    <row r="38" spans="2:23" x14ac:dyDescent="0.25">
      <c r="B38" s="11">
        <v>45870</v>
      </c>
      <c r="C38" s="1">
        <v>5291</v>
      </c>
      <c r="D38" s="1">
        <v>5098</v>
      </c>
      <c r="E38" s="1">
        <v>5870</v>
      </c>
      <c r="F38" s="1">
        <v>5027</v>
      </c>
      <c r="G38" s="10"/>
      <c r="H38" s="10"/>
      <c r="I38" s="2">
        <f t="shared" si="37"/>
        <v>35</v>
      </c>
      <c r="J38" s="2">
        <f t="shared" si="38"/>
        <v>95</v>
      </c>
      <c r="K38" s="2">
        <f t="shared" si="39"/>
        <v>90</v>
      </c>
      <c r="L38" s="2">
        <f t="shared" si="40"/>
        <v>90</v>
      </c>
      <c r="M38" s="3">
        <f t="shared" si="46"/>
        <v>50</v>
      </c>
      <c r="N38" s="3">
        <f t="shared" si="47"/>
        <v>100</v>
      </c>
      <c r="O38" s="3">
        <f t="shared" si="48"/>
        <v>100</v>
      </c>
      <c r="P38" s="3">
        <f t="shared" si="49"/>
        <v>50</v>
      </c>
      <c r="Q38" s="19">
        <f t="shared" si="41"/>
        <v>1085</v>
      </c>
      <c r="R38" s="16">
        <f t="shared" si="42"/>
        <v>1195</v>
      </c>
      <c r="S38" s="7">
        <f t="shared" si="43"/>
        <v>1190</v>
      </c>
      <c r="T38" s="6">
        <f t="shared" si="44"/>
        <v>1140</v>
      </c>
      <c r="U38" s="20">
        <f t="shared" si="28"/>
        <v>310</v>
      </c>
      <c r="V38" s="20">
        <f t="shared" si="29"/>
        <v>300</v>
      </c>
      <c r="W38">
        <f t="shared" si="36"/>
        <v>610</v>
      </c>
    </row>
    <row r="39" spans="2:23" x14ac:dyDescent="0.25">
      <c r="B39" s="11">
        <v>45901</v>
      </c>
      <c r="C39" s="1">
        <v>5294</v>
      </c>
      <c r="D39" s="1">
        <v>5124</v>
      </c>
      <c r="E39" s="1">
        <v>5877</v>
      </c>
      <c r="F39" s="1">
        <v>5040</v>
      </c>
      <c r="G39" s="10"/>
      <c r="H39" s="10"/>
      <c r="I39" s="2">
        <f t="shared" si="37"/>
        <v>15</v>
      </c>
      <c r="J39" s="2">
        <f t="shared" si="38"/>
        <v>130</v>
      </c>
      <c r="K39" s="2">
        <f t="shared" si="39"/>
        <v>35</v>
      </c>
      <c r="L39" s="2">
        <f t="shared" si="40"/>
        <v>65</v>
      </c>
      <c r="M39" s="3">
        <f t="shared" si="46"/>
        <v>50</v>
      </c>
      <c r="N39" s="3">
        <f t="shared" si="47"/>
        <v>100</v>
      </c>
      <c r="O39" s="3">
        <f t="shared" si="48"/>
        <v>100</v>
      </c>
      <c r="P39" s="3">
        <f t="shared" si="49"/>
        <v>50</v>
      </c>
      <c r="Q39" s="19">
        <f t="shared" si="41"/>
        <v>1065</v>
      </c>
      <c r="R39" s="16">
        <f t="shared" si="42"/>
        <v>1230</v>
      </c>
      <c r="S39" s="7">
        <f t="shared" si="43"/>
        <v>1135</v>
      </c>
      <c r="T39" s="6">
        <f t="shared" si="44"/>
        <v>1115</v>
      </c>
      <c r="U39" s="20">
        <f t="shared" si="28"/>
        <v>245</v>
      </c>
      <c r="V39" s="20">
        <f t="shared" si="29"/>
        <v>300</v>
      </c>
      <c r="W39">
        <f t="shared" si="36"/>
        <v>545</v>
      </c>
    </row>
    <row r="40" spans="2:23" x14ac:dyDescent="0.25">
      <c r="B40" s="11">
        <v>45931</v>
      </c>
      <c r="C40" s="1">
        <v>5296</v>
      </c>
      <c r="D40" s="1">
        <v>5154</v>
      </c>
      <c r="E40" s="1">
        <v>5889</v>
      </c>
      <c r="F40" s="1">
        <v>5040</v>
      </c>
      <c r="G40" s="10"/>
      <c r="H40" s="10"/>
      <c r="I40" s="2">
        <f t="shared" ref="I40:I45" si="50">IF(COUNT(C40:H40)=0, "", (C40-C39)*5)</f>
        <v>10</v>
      </c>
      <c r="J40" s="2">
        <f t="shared" ref="J40:J45" si="51">IF(COUNT(D40:I40)=0, "", (D40-D39)*5)</f>
        <v>150</v>
      </c>
      <c r="K40" s="2">
        <f t="shared" ref="K40:K45" si="52">IF(COUNT(E40:J40)=0, "", (E40-E39)*5)</f>
        <v>60</v>
      </c>
      <c r="L40" s="2">
        <f t="shared" ref="L40:L45" si="53">IF(COUNT(F40:K40)=0, "", (F40-F39)*5)</f>
        <v>0</v>
      </c>
      <c r="M40" s="3">
        <f t="shared" ref="M40:M45" si="54">C86*50</f>
        <v>50</v>
      </c>
      <c r="N40" s="3">
        <f t="shared" ref="N40:N45" si="55">D86*50</f>
        <v>50</v>
      </c>
      <c r="O40" s="3">
        <f t="shared" ref="O40:O45" si="56">E86*50</f>
        <v>100</v>
      </c>
      <c r="P40" s="3">
        <f t="shared" ref="P40:P45" si="57">F86*50</f>
        <v>0</v>
      </c>
      <c r="Q40" s="19">
        <f t="shared" ref="Q40:Q45" si="58">IF(COUNT(C40:H40)=0,"",I40+M40+1000)</f>
        <v>1060</v>
      </c>
      <c r="R40" s="16">
        <f t="shared" ref="R40:R45" si="59">IF(COUNT(C40:H40)=0,"",J40+N40+1000)</f>
        <v>1200</v>
      </c>
      <c r="S40" s="7">
        <f t="shared" ref="S40:S45" si="60">IF(COUNT(C40:H40)=0,"",K40+O40+1000)</f>
        <v>1160</v>
      </c>
      <c r="T40" s="6">
        <f t="shared" ref="T40:T45" si="61">IF(COUNT(C40:H40)=0,"",L40+P40+1000)</f>
        <v>1000</v>
      </c>
      <c r="U40" s="20"/>
      <c r="V40" s="20"/>
    </row>
    <row r="41" spans="2:23" x14ac:dyDescent="0.25">
      <c r="B41" s="11">
        <v>45962</v>
      </c>
      <c r="C41" s="1">
        <v>5298</v>
      </c>
      <c r="D41" s="1">
        <v>5180</v>
      </c>
      <c r="E41" s="1">
        <v>5902</v>
      </c>
      <c r="F41" s="1">
        <v>5041</v>
      </c>
      <c r="G41" s="10"/>
      <c r="H41" s="10"/>
      <c r="I41" s="2">
        <f t="shared" si="50"/>
        <v>10</v>
      </c>
      <c r="J41" s="2">
        <f t="shared" si="51"/>
        <v>130</v>
      </c>
      <c r="K41" s="2">
        <f t="shared" si="52"/>
        <v>65</v>
      </c>
      <c r="L41" s="2">
        <f t="shared" si="53"/>
        <v>5</v>
      </c>
      <c r="M41" s="3">
        <f t="shared" si="54"/>
        <v>50</v>
      </c>
      <c r="N41" s="3">
        <f t="shared" si="55"/>
        <v>50</v>
      </c>
      <c r="O41" s="3">
        <f t="shared" si="56"/>
        <v>100</v>
      </c>
      <c r="P41" s="3">
        <f t="shared" si="57"/>
        <v>50</v>
      </c>
      <c r="Q41" s="19">
        <f t="shared" si="58"/>
        <v>1060</v>
      </c>
      <c r="R41" s="16">
        <f t="shared" si="59"/>
        <v>1180</v>
      </c>
      <c r="S41" s="7">
        <f t="shared" si="60"/>
        <v>1165</v>
      </c>
      <c r="T41" s="6">
        <f t="shared" si="61"/>
        <v>1055</v>
      </c>
      <c r="U41" s="20"/>
      <c r="V41" s="20"/>
    </row>
    <row r="42" spans="2:23" x14ac:dyDescent="0.25">
      <c r="B42" s="22">
        <v>45992</v>
      </c>
      <c r="C42" s="23">
        <v>5298</v>
      </c>
      <c r="D42" s="23">
        <v>5200</v>
      </c>
      <c r="E42" s="23">
        <v>5906</v>
      </c>
      <c r="F42" s="23">
        <v>5049</v>
      </c>
      <c r="G42" s="24"/>
      <c r="H42" s="24"/>
      <c r="I42" s="23">
        <f t="shared" si="50"/>
        <v>0</v>
      </c>
      <c r="J42" s="23">
        <f t="shared" si="51"/>
        <v>100</v>
      </c>
      <c r="K42" s="23">
        <f t="shared" si="52"/>
        <v>20</v>
      </c>
      <c r="L42" s="23">
        <f t="shared" si="53"/>
        <v>40</v>
      </c>
      <c r="M42" s="23">
        <f t="shared" si="54"/>
        <v>50</v>
      </c>
      <c r="N42" s="23">
        <f t="shared" si="55"/>
        <v>50</v>
      </c>
      <c r="O42" s="23">
        <f t="shared" si="56"/>
        <v>100</v>
      </c>
      <c r="P42" s="23">
        <f t="shared" si="57"/>
        <v>50</v>
      </c>
      <c r="Q42" s="25">
        <f t="shared" si="58"/>
        <v>1050</v>
      </c>
      <c r="R42" s="26">
        <f t="shared" si="59"/>
        <v>1150</v>
      </c>
      <c r="S42" s="27">
        <f t="shared" si="60"/>
        <v>1120</v>
      </c>
      <c r="T42" s="28">
        <f t="shared" si="61"/>
        <v>1090</v>
      </c>
      <c r="U42" s="29"/>
      <c r="V42" s="29"/>
      <c r="W42" s="30"/>
    </row>
    <row r="43" spans="2:23" x14ac:dyDescent="0.25">
      <c r="B43" s="11">
        <v>46023</v>
      </c>
      <c r="C43" s="1"/>
      <c r="D43" s="1"/>
      <c r="E43" s="1"/>
      <c r="F43" s="1"/>
      <c r="G43" s="10"/>
      <c r="H43" s="10"/>
      <c r="I43" s="2" t="str">
        <f t="shared" si="50"/>
        <v/>
      </c>
      <c r="J43" s="2" t="str">
        <f t="shared" si="51"/>
        <v/>
      </c>
      <c r="K43" s="2" t="str">
        <f t="shared" si="52"/>
        <v/>
      </c>
      <c r="L43" s="2" t="str">
        <f t="shared" si="53"/>
        <v/>
      </c>
      <c r="M43" s="3">
        <f t="shared" si="54"/>
        <v>50</v>
      </c>
      <c r="N43" s="3">
        <f t="shared" si="55"/>
        <v>50</v>
      </c>
      <c r="O43" s="3">
        <f t="shared" si="56"/>
        <v>50</v>
      </c>
      <c r="P43" s="3">
        <f t="shared" si="57"/>
        <v>50</v>
      </c>
      <c r="Q43" s="19" t="str">
        <f t="shared" si="58"/>
        <v/>
      </c>
      <c r="R43" s="16" t="str">
        <f t="shared" si="59"/>
        <v/>
      </c>
      <c r="S43" s="7" t="str">
        <f t="shared" si="60"/>
        <v/>
      </c>
      <c r="T43" s="6" t="str">
        <f t="shared" si="61"/>
        <v/>
      </c>
    </row>
    <row r="44" spans="2:23" x14ac:dyDescent="0.25">
      <c r="B44" s="11">
        <v>46054</v>
      </c>
      <c r="C44" s="1"/>
      <c r="D44" s="1"/>
      <c r="E44" s="1"/>
      <c r="F44" s="1"/>
      <c r="G44" s="10"/>
      <c r="H44" s="10"/>
      <c r="I44" s="2" t="str">
        <f t="shared" si="50"/>
        <v/>
      </c>
      <c r="J44" s="2" t="str">
        <f t="shared" si="51"/>
        <v/>
      </c>
      <c r="K44" s="2" t="str">
        <f t="shared" si="52"/>
        <v/>
      </c>
      <c r="L44" s="2" t="str">
        <f t="shared" si="53"/>
        <v/>
      </c>
      <c r="M44" s="3">
        <f t="shared" si="54"/>
        <v>0</v>
      </c>
      <c r="N44" s="3">
        <f t="shared" si="55"/>
        <v>0</v>
      </c>
      <c r="O44" s="3">
        <f t="shared" si="56"/>
        <v>0</v>
      </c>
      <c r="P44" s="3">
        <f t="shared" si="57"/>
        <v>0</v>
      </c>
      <c r="Q44" s="19" t="str">
        <f t="shared" si="58"/>
        <v/>
      </c>
      <c r="R44" s="16" t="str">
        <f t="shared" si="59"/>
        <v/>
      </c>
      <c r="S44" s="7" t="str">
        <f t="shared" si="60"/>
        <v/>
      </c>
      <c r="T44" s="6" t="str">
        <f t="shared" si="61"/>
        <v/>
      </c>
    </row>
    <row r="45" spans="2:23" x14ac:dyDescent="0.25">
      <c r="B45" s="11">
        <v>46082</v>
      </c>
      <c r="C45" s="1"/>
      <c r="D45" s="1"/>
      <c r="E45" s="1"/>
      <c r="F45" s="1"/>
      <c r="G45" s="10"/>
      <c r="H45" s="10"/>
      <c r="I45" s="2" t="str">
        <f t="shared" si="50"/>
        <v/>
      </c>
      <c r="J45" s="2" t="str">
        <f t="shared" si="51"/>
        <v/>
      </c>
      <c r="K45" s="2" t="str">
        <f t="shared" si="52"/>
        <v/>
      </c>
      <c r="L45" s="2" t="str">
        <f t="shared" si="53"/>
        <v/>
      </c>
      <c r="M45" s="3">
        <f t="shared" si="54"/>
        <v>0</v>
      </c>
      <c r="N45" s="3">
        <f t="shared" si="55"/>
        <v>0</v>
      </c>
      <c r="O45" s="3">
        <f t="shared" si="56"/>
        <v>0</v>
      </c>
      <c r="P45" s="3">
        <f t="shared" si="57"/>
        <v>0</v>
      </c>
      <c r="Q45" s="19" t="str">
        <f t="shared" si="58"/>
        <v/>
      </c>
      <c r="R45" s="16" t="str">
        <f t="shared" si="59"/>
        <v/>
      </c>
      <c r="S45" s="7" t="str">
        <f t="shared" si="60"/>
        <v/>
      </c>
      <c r="T45" s="6" t="str">
        <f t="shared" si="61"/>
        <v/>
      </c>
    </row>
    <row r="49" spans="2:7" x14ac:dyDescent="0.25">
      <c r="B49" t="s">
        <v>11</v>
      </c>
      <c r="C49" t="s">
        <v>3</v>
      </c>
      <c r="D49" t="s">
        <v>4</v>
      </c>
      <c r="E49" t="s">
        <v>12</v>
      </c>
      <c r="F49" t="s">
        <v>6</v>
      </c>
      <c r="G49" t="s">
        <v>1</v>
      </c>
    </row>
    <row r="50" spans="2:7" hidden="1" x14ac:dyDescent="0.25">
      <c r="B50" t="s">
        <v>2</v>
      </c>
      <c r="C50">
        <v>2</v>
      </c>
      <c r="D50">
        <v>1</v>
      </c>
      <c r="E50">
        <v>2</v>
      </c>
      <c r="F50">
        <v>1</v>
      </c>
      <c r="G50">
        <f>SUM(C50:F50)</f>
        <v>6</v>
      </c>
    </row>
    <row r="51" spans="2:7" hidden="1" x14ac:dyDescent="0.25">
      <c r="B51" t="s">
        <v>15</v>
      </c>
      <c r="C51">
        <v>2</v>
      </c>
      <c r="D51">
        <v>1</v>
      </c>
      <c r="E51">
        <v>2</v>
      </c>
      <c r="F51">
        <v>1</v>
      </c>
      <c r="G51">
        <f t="shared" ref="G51:G57" si="62">SUM(C51:F51)</f>
        <v>6</v>
      </c>
    </row>
    <row r="52" spans="2:7" hidden="1" x14ac:dyDescent="0.25">
      <c r="B52" s="12">
        <v>44924</v>
      </c>
      <c r="C52">
        <v>2</v>
      </c>
      <c r="D52">
        <v>1</v>
      </c>
      <c r="E52">
        <v>2</v>
      </c>
      <c r="F52">
        <v>1</v>
      </c>
      <c r="G52">
        <f t="shared" si="62"/>
        <v>6</v>
      </c>
    </row>
    <row r="53" spans="2:7" hidden="1" x14ac:dyDescent="0.25">
      <c r="B53" s="12">
        <v>44955</v>
      </c>
      <c r="C53">
        <v>2</v>
      </c>
      <c r="D53">
        <v>1</v>
      </c>
      <c r="E53">
        <v>2</v>
      </c>
      <c r="F53">
        <v>1</v>
      </c>
      <c r="G53">
        <f t="shared" si="62"/>
        <v>6</v>
      </c>
    </row>
    <row r="54" spans="2:7" hidden="1" x14ac:dyDescent="0.25">
      <c r="B54" t="s">
        <v>16</v>
      </c>
      <c r="C54">
        <v>2</v>
      </c>
      <c r="D54">
        <v>1</v>
      </c>
      <c r="E54">
        <v>2</v>
      </c>
      <c r="F54">
        <v>1</v>
      </c>
      <c r="G54">
        <f t="shared" si="62"/>
        <v>6</v>
      </c>
    </row>
    <row r="55" spans="2:7" hidden="1" x14ac:dyDescent="0.25">
      <c r="B55" s="12">
        <v>45014</v>
      </c>
      <c r="C55">
        <v>1</v>
      </c>
      <c r="D55">
        <v>1</v>
      </c>
      <c r="E55">
        <v>1</v>
      </c>
      <c r="F55">
        <v>1</v>
      </c>
      <c r="G55">
        <f t="shared" si="62"/>
        <v>4</v>
      </c>
    </row>
    <row r="56" spans="2:7" hidden="1" x14ac:dyDescent="0.25">
      <c r="B56" s="12">
        <v>45045</v>
      </c>
      <c r="C56">
        <v>2</v>
      </c>
      <c r="D56">
        <v>1</v>
      </c>
      <c r="E56">
        <v>1</v>
      </c>
      <c r="F56">
        <v>2</v>
      </c>
      <c r="G56">
        <f t="shared" si="62"/>
        <v>6</v>
      </c>
    </row>
    <row r="57" spans="2:7" hidden="1" x14ac:dyDescent="0.25">
      <c r="C57">
        <v>2</v>
      </c>
      <c r="D57">
        <v>1</v>
      </c>
      <c r="E57">
        <v>2</v>
      </c>
      <c r="F57">
        <v>1</v>
      </c>
      <c r="G57">
        <f t="shared" si="62"/>
        <v>6</v>
      </c>
    </row>
    <row r="58" spans="2:7" hidden="1" x14ac:dyDescent="0.25">
      <c r="B58" s="13">
        <v>45078</v>
      </c>
      <c r="C58">
        <v>2</v>
      </c>
      <c r="D58">
        <v>1</v>
      </c>
      <c r="E58">
        <v>1</v>
      </c>
      <c r="F58">
        <v>2</v>
      </c>
      <c r="G58">
        <f>C58+D58+E58+F58</f>
        <v>6</v>
      </c>
    </row>
    <row r="59" spans="2:7" hidden="1" x14ac:dyDescent="0.25">
      <c r="B59" s="13">
        <v>45108</v>
      </c>
      <c r="C59">
        <v>2</v>
      </c>
      <c r="D59">
        <v>1</v>
      </c>
      <c r="E59">
        <v>1</v>
      </c>
      <c r="F59">
        <v>2</v>
      </c>
      <c r="G59">
        <f>C59+D59+E59+F59</f>
        <v>6</v>
      </c>
    </row>
    <row r="60" spans="2:7" hidden="1" x14ac:dyDescent="0.25">
      <c r="B60" s="13">
        <v>45139</v>
      </c>
      <c r="C60">
        <v>2</v>
      </c>
      <c r="D60">
        <v>1</v>
      </c>
      <c r="E60">
        <v>1</v>
      </c>
      <c r="F60">
        <v>2</v>
      </c>
      <c r="G60">
        <v>6</v>
      </c>
    </row>
    <row r="61" spans="2:7" hidden="1" x14ac:dyDescent="0.25">
      <c r="B61" s="13">
        <v>45170</v>
      </c>
      <c r="C61">
        <v>2</v>
      </c>
      <c r="D61">
        <v>1</v>
      </c>
      <c r="E61">
        <v>1</v>
      </c>
      <c r="F61">
        <v>0</v>
      </c>
      <c r="G61">
        <v>4</v>
      </c>
    </row>
    <row r="62" spans="2:7" hidden="1" x14ac:dyDescent="0.25">
      <c r="B62" s="13">
        <v>45200</v>
      </c>
      <c r="C62">
        <v>1</v>
      </c>
      <c r="D62">
        <v>1</v>
      </c>
      <c r="E62">
        <v>1</v>
      </c>
      <c r="F62">
        <v>2</v>
      </c>
      <c r="G62">
        <v>5</v>
      </c>
    </row>
    <row r="63" spans="2:7" hidden="1" x14ac:dyDescent="0.25">
      <c r="B63" s="13">
        <v>45231</v>
      </c>
      <c r="C63">
        <v>1</v>
      </c>
      <c r="D63">
        <v>1</v>
      </c>
      <c r="E63">
        <v>1</v>
      </c>
      <c r="F63">
        <v>1</v>
      </c>
      <c r="G63">
        <v>4</v>
      </c>
    </row>
    <row r="64" spans="2:7" hidden="1" x14ac:dyDescent="0.25">
      <c r="B64" s="13">
        <v>45261</v>
      </c>
      <c r="C64">
        <v>1</v>
      </c>
      <c r="D64">
        <v>1</v>
      </c>
      <c r="E64">
        <v>1</v>
      </c>
      <c r="F64">
        <v>1</v>
      </c>
      <c r="G64">
        <v>4</v>
      </c>
    </row>
    <row r="65" spans="2:7" hidden="1" x14ac:dyDescent="0.25">
      <c r="B65" s="13">
        <v>45292</v>
      </c>
      <c r="C65">
        <v>1</v>
      </c>
      <c r="D65">
        <v>1</v>
      </c>
      <c r="E65">
        <v>1</v>
      </c>
      <c r="F65">
        <v>1</v>
      </c>
      <c r="G65">
        <f>SUM(C65:F65)</f>
        <v>4</v>
      </c>
    </row>
    <row r="66" spans="2:7" hidden="1" x14ac:dyDescent="0.25">
      <c r="B66" s="13">
        <v>45323</v>
      </c>
      <c r="C66">
        <v>1</v>
      </c>
      <c r="D66">
        <v>1</v>
      </c>
      <c r="E66">
        <v>1</v>
      </c>
      <c r="F66">
        <v>1</v>
      </c>
      <c r="G66">
        <f t="shared" ref="G66:G73" si="63">SUM(C66:F66)</f>
        <v>4</v>
      </c>
    </row>
    <row r="67" spans="2:7" hidden="1" x14ac:dyDescent="0.25">
      <c r="B67" s="13">
        <v>45352</v>
      </c>
      <c r="C67">
        <v>1</v>
      </c>
      <c r="D67">
        <v>1</v>
      </c>
      <c r="E67">
        <v>1</v>
      </c>
      <c r="F67">
        <v>1</v>
      </c>
      <c r="G67">
        <f t="shared" si="63"/>
        <v>4</v>
      </c>
    </row>
    <row r="68" spans="2:7" hidden="1" x14ac:dyDescent="0.25">
      <c r="B68" s="13">
        <v>45383</v>
      </c>
      <c r="C68">
        <v>1</v>
      </c>
      <c r="D68">
        <v>1</v>
      </c>
      <c r="E68">
        <v>2</v>
      </c>
      <c r="F68">
        <v>1</v>
      </c>
      <c r="G68">
        <f t="shared" si="63"/>
        <v>5</v>
      </c>
    </row>
    <row r="69" spans="2:7" hidden="1" x14ac:dyDescent="0.25">
      <c r="B69" s="13">
        <v>45413</v>
      </c>
      <c r="C69">
        <v>1</v>
      </c>
      <c r="D69">
        <v>1</v>
      </c>
      <c r="E69">
        <v>1</v>
      </c>
      <c r="F69">
        <v>2</v>
      </c>
      <c r="G69">
        <f t="shared" si="63"/>
        <v>5</v>
      </c>
    </row>
    <row r="70" spans="2:7" hidden="1" x14ac:dyDescent="0.25">
      <c r="B70" s="13">
        <v>45444</v>
      </c>
      <c r="C70">
        <v>0.5</v>
      </c>
      <c r="D70">
        <v>1</v>
      </c>
      <c r="E70">
        <v>1</v>
      </c>
      <c r="F70">
        <v>1</v>
      </c>
      <c r="G70">
        <f t="shared" si="63"/>
        <v>3.5</v>
      </c>
    </row>
    <row r="71" spans="2:7" hidden="1" x14ac:dyDescent="0.25">
      <c r="B71" s="13">
        <v>45474</v>
      </c>
      <c r="C71">
        <v>1</v>
      </c>
      <c r="D71">
        <v>1</v>
      </c>
      <c r="E71">
        <v>1</v>
      </c>
      <c r="F71">
        <v>1</v>
      </c>
      <c r="G71">
        <f t="shared" si="63"/>
        <v>4</v>
      </c>
    </row>
    <row r="72" spans="2:7" hidden="1" x14ac:dyDescent="0.25">
      <c r="B72" s="13">
        <v>45505</v>
      </c>
      <c r="C72">
        <v>1</v>
      </c>
      <c r="D72">
        <v>1</v>
      </c>
      <c r="E72">
        <v>1</v>
      </c>
      <c r="F72">
        <v>1</v>
      </c>
      <c r="G72">
        <f t="shared" si="63"/>
        <v>4</v>
      </c>
    </row>
    <row r="73" spans="2:7" hidden="1" x14ac:dyDescent="0.25">
      <c r="B73" s="13">
        <v>45536</v>
      </c>
      <c r="C73">
        <v>1</v>
      </c>
      <c r="D73">
        <v>1</v>
      </c>
      <c r="E73">
        <v>1</v>
      </c>
      <c r="F73">
        <v>1</v>
      </c>
      <c r="G73">
        <f t="shared" si="63"/>
        <v>4</v>
      </c>
    </row>
    <row r="74" spans="2:7" hidden="1" x14ac:dyDescent="0.25">
      <c r="B74" s="13">
        <v>45566</v>
      </c>
      <c r="C74">
        <v>1</v>
      </c>
      <c r="D74">
        <v>1</v>
      </c>
      <c r="E74">
        <v>2</v>
      </c>
      <c r="F74">
        <v>1</v>
      </c>
      <c r="G74">
        <f t="shared" ref="G74:G83" si="64">SUM(C74:F74)</f>
        <v>5</v>
      </c>
    </row>
    <row r="75" spans="2:7" hidden="1" x14ac:dyDescent="0.25">
      <c r="B75" s="13">
        <v>45597</v>
      </c>
      <c r="C75">
        <v>1</v>
      </c>
      <c r="D75">
        <v>1</v>
      </c>
      <c r="E75">
        <v>2</v>
      </c>
      <c r="F75">
        <v>1</v>
      </c>
      <c r="G75">
        <f t="shared" si="64"/>
        <v>5</v>
      </c>
    </row>
    <row r="76" spans="2:7" hidden="1" x14ac:dyDescent="0.25">
      <c r="B76" s="13">
        <v>45627</v>
      </c>
      <c r="C76">
        <v>1</v>
      </c>
      <c r="D76">
        <v>1</v>
      </c>
      <c r="E76">
        <v>2</v>
      </c>
      <c r="F76">
        <v>1</v>
      </c>
      <c r="G76">
        <f t="shared" si="64"/>
        <v>5</v>
      </c>
    </row>
    <row r="77" spans="2:7" x14ac:dyDescent="0.25">
      <c r="B77" s="13">
        <v>45658</v>
      </c>
      <c r="C77">
        <v>1</v>
      </c>
      <c r="D77">
        <v>1</v>
      </c>
      <c r="E77">
        <v>2</v>
      </c>
      <c r="F77">
        <v>1</v>
      </c>
      <c r="G77">
        <f t="shared" si="64"/>
        <v>5</v>
      </c>
    </row>
    <row r="78" spans="2:7" x14ac:dyDescent="0.25">
      <c r="B78" s="13">
        <v>45689</v>
      </c>
      <c r="C78">
        <v>1</v>
      </c>
      <c r="D78">
        <v>1</v>
      </c>
      <c r="E78">
        <v>0</v>
      </c>
      <c r="F78">
        <v>1</v>
      </c>
      <c r="G78">
        <f t="shared" si="64"/>
        <v>3</v>
      </c>
    </row>
    <row r="79" spans="2:7" x14ac:dyDescent="0.25">
      <c r="B79" s="13">
        <v>45717</v>
      </c>
      <c r="C79">
        <v>1</v>
      </c>
      <c r="D79">
        <v>1</v>
      </c>
      <c r="E79">
        <v>2</v>
      </c>
      <c r="F79">
        <v>1</v>
      </c>
      <c r="G79">
        <f t="shared" si="64"/>
        <v>5</v>
      </c>
    </row>
    <row r="80" spans="2:7" x14ac:dyDescent="0.25">
      <c r="B80" s="13">
        <v>45748</v>
      </c>
      <c r="C80">
        <v>1</v>
      </c>
      <c r="D80">
        <v>2</v>
      </c>
      <c r="E80">
        <v>2</v>
      </c>
      <c r="F80">
        <v>1</v>
      </c>
      <c r="G80">
        <f t="shared" si="64"/>
        <v>6</v>
      </c>
    </row>
    <row r="81" spans="2:7" x14ac:dyDescent="0.25">
      <c r="B81" s="13">
        <v>45778</v>
      </c>
      <c r="C81">
        <v>1</v>
      </c>
      <c r="D81">
        <v>2</v>
      </c>
      <c r="E81">
        <v>2</v>
      </c>
      <c r="F81">
        <v>1</v>
      </c>
      <c r="G81">
        <f t="shared" si="64"/>
        <v>6</v>
      </c>
    </row>
    <row r="82" spans="2:7" x14ac:dyDescent="0.25">
      <c r="B82" s="13">
        <v>45809</v>
      </c>
      <c r="C82">
        <v>1</v>
      </c>
      <c r="D82">
        <v>2</v>
      </c>
      <c r="E82">
        <v>2</v>
      </c>
      <c r="F82">
        <v>1</v>
      </c>
      <c r="G82">
        <f t="shared" si="64"/>
        <v>6</v>
      </c>
    </row>
    <row r="83" spans="2:7" x14ac:dyDescent="0.25">
      <c r="B83" s="13">
        <v>45839</v>
      </c>
      <c r="C83">
        <v>1</v>
      </c>
      <c r="D83">
        <v>2</v>
      </c>
      <c r="E83">
        <v>2</v>
      </c>
      <c r="F83">
        <v>1</v>
      </c>
      <c r="G83">
        <f t="shared" si="64"/>
        <v>6</v>
      </c>
    </row>
    <row r="84" spans="2:7" x14ac:dyDescent="0.25">
      <c r="B84" s="13">
        <v>45870</v>
      </c>
      <c r="C84">
        <v>1</v>
      </c>
      <c r="D84">
        <v>2</v>
      </c>
      <c r="E84">
        <v>2</v>
      </c>
      <c r="F84">
        <v>1</v>
      </c>
      <c r="G84">
        <f t="shared" ref="G84:G89" si="65">SUM(C84:F84)</f>
        <v>6</v>
      </c>
    </row>
    <row r="85" spans="2:7" x14ac:dyDescent="0.25">
      <c r="B85" s="13">
        <v>45901</v>
      </c>
      <c r="C85">
        <v>1</v>
      </c>
      <c r="D85">
        <v>2</v>
      </c>
      <c r="E85">
        <v>2</v>
      </c>
      <c r="F85">
        <v>1</v>
      </c>
      <c r="G85">
        <f t="shared" si="65"/>
        <v>6</v>
      </c>
    </row>
    <row r="86" spans="2:7" x14ac:dyDescent="0.25">
      <c r="B86" s="13">
        <v>45931</v>
      </c>
      <c r="C86">
        <v>1</v>
      </c>
      <c r="D86">
        <v>1</v>
      </c>
      <c r="E86">
        <v>2</v>
      </c>
      <c r="F86">
        <v>0</v>
      </c>
      <c r="G86">
        <f t="shared" si="65"/>
        <v>4</v>
      </c>
    </row>
    <row r="87" spans="2:7" x14ac:dyDescent="0.25">
      <c r="B87" s="13">
        <v>45962</v>
      </c>
      <c r="C87">
        <v>1</v>
      </c>
      <c r="D87">
        <v>1</v>
      </c>
      <c r="E87">
        <v>2</v>
      </c>
      <c r="F87">
        <v>1</v>
      </c>
      <c r="G87">
        <f t="shared" si="65"/>
        <v>5</v>
      </c>
    </row>
    <row r="88" spans="2:7" x14ac:dyDescent="0.25">
      <c r="B88" s="13">
        <v>45992</v>
      </c>
      <c r="C88">
        <v>1</v>
      </c>
      <c r="D88">
        <v>1</v>
      </c>
      <c r="E88">
        <v>2</v>
      </c>
      <c r="F88">
        <v>1</v>
      </c>
      <c r="G88">
        <f t="shared" si="65"/>
        <v>5</v>
      </c>
    </row>
    <row r="89" spans="2:7" x14ac:dyDescent="0.25">
      <c r="B89" s="13">
        <v>46023</v>
      </c>
      <c r="C89">
        <v>1</v>
      </c>
      <c r="D89">
        <v>1</v>
      </c>
      <c r="E89">
        <v>1</v>
      </c>
      <c r="F89">
        <v>1</v>
      </c>
      <c r="G89">
        <f t="shared" si="65"/>
        <v>4</v>
      </c>
    </row>
  </sheetData>
  <mergeCells count="5">
    <mergeCell ref="U1:W1"/>
    <mergeCell ref="C1:F1"/>
    <mergeCell ref="I1:L1"/>
    <mergeCell ref="M1:P1"/>
    <mergeCell ref="Q1:T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Số người trọ</vt:lpstr>
      <vt:lpstr>Tiền trọ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Administrator</cp:lastModifiedBy>
  <dcterms:created xsi:type="dcterms:W3CDTF">2022-10-29T14:35:08Z</dcterms:created>
  <dcterms:modified xsi:type="dcterms:W3CDTF">2026-01-30T10:12:06Z</dcterms:modified>
</cp:coreProperties>
</file>